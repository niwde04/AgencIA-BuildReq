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Resumen" sheetId="2" r:id="rId2"/>
  </sheets>
  <definedNames>
    <definedName name="_xlnm._FilterDatabase" localSheetId="0">'Hoja1'!A3:BH74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60" formatCode="dd-mmm-yy"/>
    <numFmt numFmtId="61" formatCode="L#,##0.00;[Red]-L#,##0.00;L-"/>
    <numFmt numFmtId="62" formatCode="yyyy-mm-dd hh:mm"/>
    <numFmt numFmtId="164" formatCode="&quot;Of &quot;0000"/>
    <numFmt numFmtId="165" formatCode="dd\-mm\-yyyy"/>
    <numFmt numFmtId="166" formatCode="_(* #,##0.00_);_(* \(#,##0.00\);_(* &quot;-&quot;??_);_(@_)"/>
    <numFmt numFmtId="167" formatCode="_-[$L-480A]* #,##0.00_-;\-[$L-480A]* #,##0.00_-;_-[$L-480A]* &quot;-&quot;??_-;_-@_-"/>
    <numFmt numFmtId="168" formatCode="dd\-mm\-yy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75"/>
  <sheetViews>
    <sheetView workbookViewId="0" rightToLeft="0"/>
  </sheetViews>
  <cols>
    <col min="1" max="1" width="18.83203125" customWidth="1"/>
    <col min="2" max="2" width="28.83203125" customWidth="1"/>
    <col min="3" max="3" width="18.83203125" customWidth="1"/>
    <col min="4" max="4" width="2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8.83203125" customWidth="1"/>
    <col min="13" max="13" width="42.83203125" customWidth="1"/>
    <col min="14" max="14" width="18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28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42.83203125" customWidth="1"/>
    <col min="49" max="49" width="18.83203125" customWidth="1"/>
    <col min="50" max="50" width="42.83203125" customWidth="1"/>
    <col min="51" max="51" width="18.83203125" customWidth="1"/>
    <col min="52" max="52" width="18.83203125" customWidth="1"/>
    <col min="53" max="53" width="42.83203125" customWidth="1"/>
    <col min="54" max="54" width="18.83203125" customWidth="1"/>
    <col min="55" max="55" width="42.83203125" customWidth="1"/>
    <col min="56" max="56" width="42.83203125" customWidth="1"/>
    <col min="57" max="57" width="42.83203125" customWidth="1"/>
    <col min="58" max="58" width="18.83203125" customWidth="1"/>
    <col min="59" max="59" width="18.83203125" customWidth="1"/>
    <col min="60" max="60" width="28.83203125" customWidth="1"/>
  </cols>
  <sheetData>
    <row r="1" ht="18" customHeight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</row>
    <row r="2" ht="18" customHeight="1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Nro. Factura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</row>
    <row r="3" ht="32" customHeight="1">
      <c r="A3" t="str">
        <v>N° REGISTRO</v>
      </c>
      <c r="B3" t="str">
        <v>Cod_Finanzas</v>
      </c>
      <c r="C3" t="str">
        <v>RTN</v>
      </c>
      <c r="D3" t="str">
        <v>Razón Social</v>
      </c>
      <c r="E3" t="str">
        <v>Sistema_de_Pago</v>
      </c>
      <c r="F3" t="str">
        <v>Tipo_de_comprobante</v>
      </c>
      <c r="G3" t="str">
        <v>Fecha Factura</v>
      </c>
      <c r="H3" t="str">
        <v>ESTABLECIMIENTO</v>
      </c>
      <c r="I3" t="str">
        <v>PUNTO DE EMISIÓN</v>
      </c>
      <c r="J3" t="str">
        <v>TIPO DE DOCUMENTO</v>
      </c>
      <c r="K3" t="str">
        <v>CORRELATIVO</v>
      </c>
      <c r="L3" t="str">
        <v>CAI</v>
      </c>
      <c r="M3" t="str">
        <v>Descripcion_Fac.</v>
      </c>
      <c r="N3" t="str">
        <v>Dias_crédito</v>
      </c>
      <c r="O3" t="str">
        <v>Base_ISV_15%</v>
      </c>
      <c r="P3" t="str">
        <v>Base_ISV_18%</v>
      </c>
      <c r="Q3" t="str">
        <v>ISV_4%</v>
      </c>
      <c r="R3" t="str">
        <v>Base_ISV_0%</v>
      </c>
      <c r="S3" t="str">
        <v>Anticipo</v>
      </c>
      <c r="T3" t="str">
        <v>No_Cpte_Retención</v>
      </c>
      <c r="U3" t="str">
        <v>Fech_Cpte_Retención</v>
      </c>
      <c r="V3" t="str">
        <v>Criterio_Ret_ISR_1%</v>
      </c>
      <c r="W3" t="str">
        <v>Criterio_Ret_ISR_12.5%</v>
      </c>
      <c r="X3" t="str">
        <v>Criterio_Ret_ISR_25%</v>
      </c>
      <c r="Y3" t="str">
        <v>Ret_ISV</v>
      </c>
      <c r="Z3" t="str">
        <v>Empresa</v>
      </c>
      <c r="AA3" t="str">
        <v>Sucursal</v>
      </c>
      <c r="AB3" t="str">
        <v>Total_base</v>
      </c>
      <c r="AC3" t="str">
        <v>ISV_15%</v>
      </c>
      <c r="AD3" t="str">
        <v>ISV_18%</v>
      </c>
      <c r="AE3" t="str">
        <v>ISV_4%.</v>
      </c>
      <c r="AF3" t="str">
        <v>Total_ISV</v>
      </c>
      <c r="AG3" t="str">
        <v>Total_Factura</v>
      </c>
      <c r="AH3" t="str">
        <v>Ret_ISR_1%</v>
      </c>
      <c r="AI3" t="str">
        <v>Ret_ISR_12.5%</v>
      </c>
      <c r="AJ3" t="str">
        <v>Ret_ISR_25%</v>
      </c>
      <c r="AK3" t="str">
        <v>Ret_ISV.</v>
      </c>
      <c r="AL3" t="str">
        <v>Total_Retencion.</v>
      </c>
      <c r="AM3" t="str">
        <v>Neto_pagar</v>
      </c>
      <c r="AN3" t="str">
        <v>F_Vencimiento</v>
      </c>
      <c r="AO3" t="str">
        <v>Tipo_de_pago</v>
      </c>
      <c r="AP3" t="str">
        <v>Status_Pago</v>
      </c>
      <c r="AQ3" t="str">
        <v>Lote de Pago</v>
      </c>
      <c r="AR3" t="str">
        <v>Cta. Bancaria</v>
      </c>
      <c r="AS3" t="str">
        <v>Fecha</v>
      </c>
      <c r="AT3" t="str">
        <v>Referencia Debito</v>
      </c>
      <c r="AU3" t="str">
        <v>Ref Notificacion</v>
      </c>
      <c r="AV3" t="str">
        <v>Observacion</v>
      </c>
      <c r="AW3" t="str">
        <v>S_fondos</v>
      </c>
      <c r="AX3" t="str">
        <v>Grupo mayor</v>
      </c>
      <c r="AY3" t="str">
        <v>Flujo ID</v>
      </c>
      <c r="AZ3" t="str">
        <v>Actividad Flujo</v>
      </c>
      <c r="BA3" t="str">
        <v>JOB</v>
      </c>
      <c r="BB3" t="str">
        <v>Level1</v>
      </c>
      <c r="BC3" t="str">
        <v>Level2</v>
      </c>
      <c r="BD3" t="str">
        <v>Level3</v>
      </c>
      <c r="BE3" t="str">
        <v>Level4</v>
      </c>
      <c r="BF3" t="str">
        <v>D_Vencimiento</v>
      </c>
      <c r="BG3" t="str">
        <v>No Provision</v>
      </c>
      <c r="BH3" t="str">
        <v>Guia_R_Documentos</v>
      </c>
    </row>
    <row r="4" ht="18" customHeight="1">
      <c r="A4" t="str">
        <v>FT-004-00000015</v>
      </c>
      <c r="B4" t="str">
        <v>004</v>
      </c>
      <c r="C4" t="str">
        <v>05019019177570</v>
      </c>
      <c r="D4" t="str">
        <v>INVERSIONES BP S DE RL</v>
      </c>
      <c r="E4" t="str">
        <v>Banco</v>
      </c>
      <c r="F4" t="str">
        <v>Factura</v>
      </c>
      <c r="G4" s="1" t="d">
        <v>2026-05-22T00:00:00.000Z</v>
      </c>
      <c r="H4" t="str">
        <v>000</v>
      </c>
      <c r="I4" t="str">
        <v>002</v>
      </c>
      <c r="J4" t="str">
        <v>01</v>
      </c>
      <c r="K4" t="str">
        <v>00008417</v>
      </c>
      <c r="L4" t="str">
        <v>4D3CE4-967802-4DE7E0-63BE03-09094A-6C</v>
      </c>
      <c r="M4" t="str">
        <v>GUANTE CUERO</v>
      </c>
      <c r="N4" s="2">
        <v>31</v>
      </c>
      <c r="O4" s="3">
        <v>53100</v>
      </c>
      <c r="P4" s="3" t="str">
        <v/>
      </c>
      <c r="Q4" s="3" t="str">
        <v/>
      </c>
      <c r="R4" s="3" t="str">
        <v/>
      </c>
      <c r="S4" t="str">
        <v/>
      </c>
      <c r="T4" t="str">
        <v>N/A</v>
      </c>
      <c r="U4" s="1" t="str">
        <v/>
      </c>
      <c r="V4" t="str">
        <v/>
      </c>
      <c r="W4" t="str">
        <v/>
      </c>
      <c r="X4" t="str">
        <v/>
      </c>
      <c r="Y4" t="str">
        <v/>
      </c>
      <c r="Z4" t="str">
        <v>HeH Honduras</v>
      </c>
      <c r="AA4" t="str">
        <v>004 Mantenimiento rutinario CA-5</v>
      </c>
      <c r="AB4" s="3">
        <v>53100</v>
      </c>
      <c r="AC4" s="3">
        <v>7965</v>
      </c>
      <c r="AD4" s="3">
        <v>0</v>
      </c>
      <c r="AE4" s="3">
        <v>0</v>
      </c>
      <c r="AF4" s="3">
        <v>7965</v>
      </c>
      <c r="AG4" s="3">
        <v>61065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61065</v>
      </c>
      <c r="AN4" s="1" t="d">
        <v>2026-06-22T00:00:00.000Z</v>
      </c>
      <c r="AO4" t="str">
        <v>Crédito</v>
      </c>
      <c r="AP4" t="str">
        <v>Borrador</v>
      </c>
      <c r="AQ4" t="str">
        <v/>
      </c>
      <c r="AR4" t="str">
        <v/>
      </c>
      <c r="AS4" s="1" t="str">
        <v/>
      </c>
      <c r="AT4" t="str">
        <v/>
      </c>
      <c r="AU4" t="str">
        <v/>
      </c>
      <c r="AV4" t="str">
        <v>EJEMPLO - backup buildreq-reset-movements-20260701-203055Z.sql - estado Borrador</v>
      </c>
      <c r="AW4" t="str">
        <v/>
      </c>
      <c r="AX4" t="str">
        <v>004 Mantenimiento rutinario CA-5</v>
      </c>
      <c r="AY4" t="str">
        <v>bodega_proyecto</v>
      </c>
      <c r="AZ4" t="str">
        <v>local</v>
      </c>
      <c r="BA4" t="str">
        <v>REQ-004-00000035</v>
      </c>
      <c r="BB4" t="str">
        <v>004</v>
      </c>
      <c r="BC4" t="str">
        <v/>
      </c>
      <c r="BD4" t="str">
        <v>SC-004-00000027</v>
      </c>
      <c r="BE4" t="str">
        <v>OC-004-00000023</v>
      </c>
      <c r="BF4" t="str">
        <v>Pendiente</v>
      </c>
      <c r="BG4" t="str">
        <v>FT-004-00000015</v>
      </c>
      <c r="BH4" t="str">
        <v>RE-004-00000022</v>
      </c>
    </row>
    <row r="5" ht="18" customHeight="1">
      <c r="A5" t="str">
        <v>FT-006-00000009</v>
      </c>
      <c r="B5" t="str">
        <v>006</v>
      </c>
      <c r="C5" t="str">
        <v>08019002268287</v>
      </c>
      <c r="D5" t="str">
        <v>CENTRAL DE MANGUERAS SA CEMASA</v>
      </c>
      <c r="E5" t="str">
        <v>Banco</v>
      </c>
      <c r="F5" t="str">
        <v>Factura</v>
      </c>
      <c r="G5" s="1" t="d">
        <v>2026-06-01T00:00:00.000Z</v>
      </c>
      <c r="H5" t="str">
        <v>001</v>
      </c>
      <c r="I5" t="str">
        <v>001</v>
      </c>
      <c r="J5" t="str">
        <v>01</v>
      </c>
      <c r="K5" t="str">
        <v>00473819</v>
      </c>
      <c r="L5" t="str">
        <v>43E37E-443ACD-7DBCE0-63BE03-090900-E8</v>
      </c>
      <c r="M5" t="str">
        <v>FABRICACIÓN DE MANGUERAS</v>
      </c>
      <c r="N5" s="2">
        <v>30</v>
      </c>
      <c r="O5" s="3">
        <v>1020.87</v>
      </c>
      <c r="P5" s="3" t="str">
        <v/>
      </c>
      <c r="Q5" s="3" t="str">
        <v/>
      </c>
      <c r="R5" s="3" t="str">
        <v/>
      </c>
      <c r="S5" t="str">
        <v/>
      </c>
      <c r="T5" t="str">
        <v>N/A</v>
      </c>
      <c r="U5" s="1" t="str">
        <v/>
      </c>
      <c r="V5" t="str">
        <v/>
      </c>
      <c r="W5" t="str">
        <v/>
      </c>
      <c r="X5" t="str">
        <v/>
      </c>
      <c r="Y5" t="str">
        <v/>
      </c>
      <c r="Z5" t="str">
        <v>HeH Honduras</v>
      </c>
      <c r="AA5" t="str">
        <v>006 Mantenimiento periódico</v>
      </c>
      <c r="AB5" s="3">
        <v>1020.87</v>
      </c>
      <c r="AC5" s="3">
        <v>153.13</v>
      </c>
      <c r="AD5" s="3">
        <v>0</v>
      </c>
      <c r="AE5" s="3">
        <v>0</v>
      </c>
      <c r="AF5" s="3">
        <v>153.13</v>
      </c>
      <c r="AG5" s="3">
        <v>1174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1174</v>
      </c>
      <c r="AN5" s="1" t="d">
        <v>2026-07-01T00:00:00.000Z</v>
      </c>
      <c r="AO5" t="str">
        <v>Crédito</v>
      </c>
      <c r="AP5" t="str">
        <v>Revisada</v>
      </c>
      <c r="AQ5" t="str">
        <v/>
      </c>
      <c r="AR5" t="str">
        <v/>
      </c>
      <c r="AS5" s="1" t="str">
        <v/>
      </c>
      <c r="AT5" t="str">
        <v/>
      </c>
      <c r="AU5" t="str">
        <v/>
      </c>
      <c r="AV5" t="str">
        <v>EJEMPLO - backup buildreq-reset-movements-20260701-203055Z.sql - estado Revisada</v>
      </c>
      <c r="AW5" t="str">
        <v/>
      </c>
      <c r="AX5" t="str">
        <v>006 Mantenimiento periódico</v>
      </c>
      <c r="AY5" t="str">
        <v>bodega_proyecto</v>
      </c>
      <c r="AZ5" t="str">
        <v>local</v>
      </c>
      <c r="BA5" t="str">
        <v>REQ-006-00000035</v>
      </c>
      <c r="BB5" t="str">
        <v>006</v>
      </c>
      <c r="BC5" t="str">
        <v/>
      </c>
      <c r="BD5" t="str">
        <v>SC-006-00000020</v>
      </c>
      <c r="BE5" t="str">
        <v>OC-006-00000010</v>
      </c>
      <c r="BF5" t="str">
        <v>Pendiente</v>
      </c>
      <c r="BG5" t="str">
        <v>FT-006-00000009</v>
      </c>
      <c r="BH5" t="str">
        <v>RE-006-00000012</v>
      </c>
    </row>
    <row r="6" ht="18" customHeight="1">
      <c r="A6" t="str">
        <v>FT-006-00000010</v>
      </c>
      <c r="B6" t="str">
        <v>006</v>
      </c>
      <c r="C6" t="str">
        <v>08019002268287</v>
      </c>
      <c r="D6" t="str">
        <v>CENTRAL DE MANGUERAS SA CEMASA</v>
      </c>
      <c r="E6" t="str">
        <v>Banco</v>
      </c>
      <c r="F6" t="str">
        <v>Factura</v>
      </c>
      <c r="G6" s="1" t="d">
        <v>2026-06-01T00:00:00.000Z</v>
      </c>
      <c r="H6" t="str">
        <v>001</v>
      </c>
      <c r="I6" t="str">
        <v>001</v>
      </c>
      <c r="J6" t="str">
        <v>01</v>
      </c>
      <c r="K6" t="str">
        <v>00473840</v>
      </c>
      <c r="L6" t="str">
        <v>43E37E-443ACD-7DBCE0-63BE03-090900-E8</v>
      </c>
      <c r="M6" t="str">
        <v>REPARACION DE PISTON HID V 40 C70</v>
      </c>
      <c r="N6" s="2">
        <v>30</v>
      </c>
      <c r="O6" s="3">
        <v>18330</v>
      </c>
      <c r="P6" s="3" t="str">
        <v/>
      </c>
      <c r="Q6" s="3" t="str">
        <v/>
      </c>
      <c r="R6" s="3" t="str">
        <v/>
      </c>
      <c r="S6" t="str">
        <v/>
      </c>
      <c r="T6" t="str">
        <v>N/A</v>
      </c>
      <c r="U6" s="1" t="str">
        <v/>
      </c>
      <c r="V6" t="str">
        <v/>
      </c>
      <c r="W6" t="str">
        <v/>
      </c>
      <c r="X6" t="str">
        <v/>
      </c>
      <c r="Y6" t="str">
        <v/>
      </c>
      <c r="Z6" t="str">
        <v>HeH Honduras</v>
      </c>
      <c r="AA6" t="str">
        <v>006 Mantenimiento periódico</v>
      </c>
      <c r="AB6" s="3">
        <v>18330</v>
      </c>
      <c r="AC6" s="3">
        <v>2749.5</v>
      </c>
      <c r="AD6" s="3">
        <v>0</v>
      </c>
      <c r="AE6" s="3">
        <v>0</v>
      </c>
      <c r="AF6" s="3">
        <v>2749.5</v>
      </c>
      <c r="AG6" s="3">
        <v>21079.5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21079.5</v>
      </c>
      <c r="AN6" s="1" t="d">
        <v>2026-07-01T00:00:00.000Z</v>
      </c>
      <c r="AO6" t="str">
        <v>Crédito</v>
      </c>
      <c r="AP6" t="str">
        <v>Revisada</v>
      </c>
      <c r="AQ6" t="str">
        <v/>
      </c>
      <c r="AR6" t="str">
        <v/>
      </c>
      <c r="AS6" s="1" t="str">
        <v/>
      </c>
      <c r="AT6" t="str">
        <v/>
      </c>
      <c r="AU6" t="str">
        <v/>
      </c>
      <c r="AV6" t="str">
        <v>EJEMPLO - backup buildreq-reset-movements-20260701-203055Z.sql - estado Revisada</v>
      </c>
      <c r="AW6" t="str">
        <v/>
      </c>
      <c r="AX6" t="str">
        <v>006 Mantenimiento periódico</v>
      </c>
      <c r="AY6" t="str">
        <v>bodega_proyecto</v>
      </c>
      <c r="AZ6" t="str">
        <v>local</v>
      </c>
      <c r="BA6" t="str">
        <v>REQ-006-00000036</v>
      </c>
      <c r="BB6" t="str">
        <v>006</v>
      </c>
      <c r="BC6" t="str">
        <v/>
      </c>
      <c r="BD6" t="str">
        <v>SC-006-00000021</v>
      </c>
      <c r="BE6" t="str">
        <v>OC-006-00000011</v>
      </c>
      <c r="BF6" t="str">
        <v>Pendiente</v>
      </c>
      <c r="BG6" t="str">
        <v>FT-006-00000010</v>
      </c>
      <c r="BH6" t="str">
        <v>RE-006-00000013</v>
      </c>
    </row>
    <row r="7" ht="18" customHeight="1">
      <c r="A7" t="str">
        <v>FT-006-00000013</v>
      </c>
      <c r="B7" t="str">
        <v>006</v>
      </c>
      <c r="C7" t="str">
        <v>05012000148043</v>
      </c>
      <c r="D7" t="str">
        <v>VILLANUEVA UMAÑA DAVID AHIEZER</v>
      </c>
      <c r="E7" t="str">
        <v>Banco</v>
      </c>
      <c r="F7" t="str">
        <v>Factura</v>
      </c>
      <c r="G7" s="1" t="d">
        <v>2026-06-01T00:00:00.000Z</v>
      </c>
      <c r="H7" t="str">
        <v>000</v>
      </c>
      <c r="I7" t="str">
        <v>001</v>
      </c>
      <c r="J7" t="str">
        <v>01</v>
      </c>
      <c r="K7" t="str">
        <v>00004924</v>
      </c>
      <c r="L7" t="str">
        <v>4D7A2F-5506D0-0B59E0-63BE03-090925-81</v>
      </c>
      <c r="M7" t="str">
        <v>EXTRAER PISTON ENDEREZAR SOLDAR Y RESANAR PARTES DAÑADAS Y REPARACION DE ROSCA PISTON PEQUEÑO Y MAQUINAR REGULADOR CUADRADO</v>
      </c>
      <c r="N7" s="2">
        <v>30</v>
      </c>
      <c r="O7" s="3">
        <v>18300</v>
      </c>
      <c r="P7" s="3" t="str">
        <v/>
      </c>
      <c r="Q7" s="3" t="str">
        <v/>
      </c>
      <c r="R7" s="3" t="str">
        <v/>
      </c>
      <c r="S7" t="str">
        <v/>
      </c>
      <c r="T7" t="str">
        <v>N/A</v>
      </c>
      <c r="U7" s="1" t="str">
        <v/>
      </c>
      <c r="V7" t="str">
        <v/>
      </c>
      <c r="W7" t="str">
        <v/>
      </c>
      <c r="X7" t="str">
        <v/>
      </c>
      <c r="Y7" t="str">
        <v/>
      </c>
      <c r="Z7" t="str">
        <v>HeH Honduras</v>
      </c>
      <c r="AA7" t="str">
        <v>006 Mantenimiento periódico</v>
      </c>
      <c r="AB7" s="3">
        <v>18300</v>
      </c>
      <c r="AC7" s="3">
        <v>2745</v>
      </c>
      <c r="AD7" s="3">
        <v>0</v>
      </c>
      <c r="AE7" s="3">
        <v>0</v>
      </c>
      <c r="AF7" s="3">
        <v>2745</v>
      </c>
      <c r="AG7" s="3">
        <v>21045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21045</v>
      </c>
      <c r="AN7" s="1" t="d">
        <v>2026-07-01T00:00:00.000Z</v>
      </c>
      <c r="AO7" t="str">
        <v>Crédito</v>
      </c>
      <c r="AP7" t="str">
        <v>Revisada</v>
      </c>
      <c r="AQ7" t="str">
        <v/>
      </c>
      <c r="AR7" t="str">
        <v/>
      </c>
      <c r="AS7" s="1" t="str">
        <v/>
      </c>
      <c r="AT7" t="str">
        <v/>
      </c>
      <c r="AU7" t="str">
        <v/>
      </c>
      <c r="AV7" t="str">
        <v>EJEMPLO - backup buildreq-reset-movements-20260701-203055Z.sql - estado Revisada</v>
      </c>
      <c r="AW7" t="str">
        <v/>
      </c>
      <c r="AX7" t="str">
        <v>006 Mantenimiento periódico</v>
      </c>
      <c r="AY7" t="str">
        <v>bodega_proyecto</v>
      </c>
      <c r="AZ7" t="str">
        <v>local</v>
      </c>
      <c r="BA7" t="str">
        <v>REQ-006-00000040</v>
      </c>
      <c r="BB7" t="str">
        <v>006</v>
      </c>
      <c r="BC7" t="str">
        <v/>
      </c>
      <c r="BD7" t="str">
        <v>SC-006-00000025</v>
      </c>
      <c r="BE7" t="str">
        <v>OC-006-00000015</v>
      </c>
      <c r="BF7" t="str">
        <v>Pendiente</v>
      </c>
      <c r="BG7" t="str">
        <v>FT-006-00000013</v>
      </c>
      <c r="BH7" t="str">
        <v>RE-006-00000016</v>
      </c>
    </row>
    <row r="8" ht="18" customHeight="1">
      <c r="A8" t="str">
        <v>FT-006-00000014</v>
      </c>
      <c r="B8" t="str">
        <v>006</v>
      </c>
      <c r="C8" t="str">
        <v>05012000148043</v>
      </c>
      <c r="D8" t="str">
        <v>VILLANUEVA UMAÑA DAVID AHIEZER</v>
      </c>
      <c r="E8" t="str">
        <v>Banco</v>
      </c>
      <c r="F8" t="str">
        <v>Factura</v>
      </c>
      <c r="G8" s="1" t="d">
        <v>2026-06-01T00:00:00.000Z</v>
      </c>
      <c r="H8" t="str">
        <v>000</v>
      </c>
      <c r="I8" t="str">
        <v>001</v>
      </c>
      <c r="J8" t="str">
        <v>01</v>
      </c>
      <c r="K8" t="str">
        <v>00004923</v>
      </c>
      <c r="L8" t="str">
        <v>4D7A2F-5506D0-0B59E0-63BE03-090925-81</v>
      </c>
      <c r="M8" t="str">
        <v>SOLDAR Y RECTIFICAR EJE DE RODO PARA TRITURADORA</v>
      </c>
      <c r="N8" s="2">
        <v>30</v>
      </c>
      <c r="O8" s="3">
        <v>2800</v>
      </c>
      <c r="P8" s="3" t="str">
        <v/>
      </c>
      <c r="Q8" s="3" t="str">
        <v/>
      </c>
      <c r="R8" s="3" t="str">
        <v/>
      </c>
      <c r="S8" t="str">
        <v/>
      </c>
      <c r="T8" t="str">
        <v>N/A</v>
      </c>
      <c r="U8" s="1" t="str">
        <v/>
      </c>
      <c r="V8" t="str">
        <v/>
      </c>
      <c r="W8" t="str">
        <v/>
      </c>
      <c r="X8" t="str">
        <v/>
      </c>
      <c r="Y8" t="str">
        <v/>
      </c>
      <c r="Z8" t="str">
        <v>HeH Honduras</v>
      </c>
      <c r="AA8" t="str">
        <v>006 Mantenimiento periódico</v>
      </c>
      <c r="AB8" s="3">
        <v>2800</v>
      </c>
      <c r="AC8" s="3">
        <v>420</v>
      </c>
      <c r="AD8" s="3">
        <v>0</v>
      </c>
      <c r="AE8" s="3">
        <v>0</v>
      </c>
      <c r="AF8" s="3">
        <v>420</v>
      </c>
      <c r="AG8" s="3">
        <v>3220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3220</v>
      </c>
      <c r="AN8" s="1" t="d">
        <v>2026-07-01T00:00:00.000Z</v>
      </c>
      <c r="AO8" t="str">
        <v>Crédito</v>
      </c>
      <c r="AP8" t="str">
        <v>Revisada</v>
      </c>
      <c r="AQ8" t="str">
        <v/>
      </c>
      <c r="AR8" t="str">
        <v/>
      </c>
      <c r="AS8" s="1" t="str">
        <v/>
      </c>
      <c r="AT8" t="str">
        <v/>
      </c>
      <c r="AU8" t="str">
        <v/>
      </c>
      <c r="AV8" t="str">
        <v>EJEMPLO - backup buildreq-reset-movements-20260701-203055Z.sql - estado Revisada</v>
      </c>
      <c r="AW8" t="str">
        <v/>
      </c>
      <c r="AX8" t="str">
        <v>006 Mantenimiento periódico</v>
      </c>
      <c r="AY8" t="str">
        <v>bodega_proyecto</v>
      </c>
      <c r="AZ8" t="str">
        <v>local</v>
      </c>
      <c r="BA8" t="str">
        <v>REQ-006-00000044</v>
      </c>
      <c r="BB8" t="str">
        <v>006</v>
      </c>
      <c r="BC8" t="str">
        <v/>
      </c>
      <c r="BD8" t="str">
        <v>SC-006-00000029</v>
      </c>
      <c r="BE8" t="str">
        <v>OC-006-00000017</v>
      </c>
      <c r="BF8" t="str">
        <v>Pendiente</v>
      </c>
      <c r="BG8" t="str">
        <v>FT-006-00000014</v>
      </c>
      <c r="BH8" t="str">
        <v>RE-006-00000017</v>
      </c>
    </row>
    <row r="9" ht="18" customHeight="1">
      <c r="A9" t="str">
        <v>FT-004-00000016</v>
      </c>
      <c r="B9" t="str">
        <v>004</v>
      </c>
      <c r="C9" t="str">
        <v>05019999179219</v>
      </c>
      <c r="D9" t="str">
        <v>CENTRO FERRETERO TORNIFESA S DE RL DE CV</v>
      </c>
      <c r="E9" t="str">
        <v>Banco</v>
      </c>
      <c r="F9" t="str">
        <v>Factura</v>
      </c>
      <c r="G9" s="1" t="d">
        <v>2026-06-01T00:00:00.000Z</v>
      </c>
      <c r="H9" t="str">
        <v>000</v>
      </c>
      <c r="I9" t="str">
        <v>001</v>
      </c>
      <c r="J9" t="str">
        <v>01</v>
      </c>
      <c r="K9" t="str">
        <v>00207287</v>
      </c>
      <c r="L9" t="str">
        <v>4A7B8F-2C22AE-7EADE0-63BE03-090958-35</v>
      </c>
      <c r="M9" t="str">
        <v>PERSONAL GRUPO DE SEÑALIZACION</v>
      </c>
      <c r="N9" s="2">
        <v>30</v>
      </c>
      <c r="O9" s="3">
        <v>4875</v>
      </c>
      <c r="P9" s="3" t="str">
        <v/>
      </c>
      <c r="Q9" s="3" t="str">
        <v/>
      </c>
      <c r="R9" s="3" t="str">
        <v/>
      </c>
      <c r="S9" t="str">
        <v/>
      </c>
      <c r="T9" t="str">
        <v>N/A</v>
      </c>
      <c r="U9" s="1" t="str">
        <v/>
      </c>
      <c r="V9" t="str">
        <v/>
      </c>
      <c r="W9" t="str">
        <v/>
      </c>
      <c r="X9" t="str">
        <v/>
      </c>
      <c r="Y9" t="str">
        <v/>
      </c>
      <c r="Z9" t="str">
        <v>HeH Honduras</v>
      </c>
      <c r="AA9" t="str">
        <v>004 Mantenimiento rutinario CA-5</v>
      </c>
      <c r="AB9" s="3">
        <v>4875</v>
      </c>
      <c r="AC9" s="3">
        <v>731.25</v>
      </c>
      <c r="AD9" s="3">
        <v>0</v>
      </c>
      <c r="AE9" s="3">
        <v>0</v>
      </c>
      <c r="AF9" s="3">
        <v>731.25</v>
      </c>
      <c r="AG9" s="3">
        <v>5606.25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5606.25</v>
      </c>
      <c r="AN9" s="1" t="d">
        <v>2026-07-01T00:00:00.000Z</v>
      </c>
      <c r="AO9" t="str">
        <v>Crédito</v>
      </c>
      <c r="AP9" t="str">
        <v>Revisada</v>
      </c>
      <c r="AQ9" t="str">
        <v/>
      </c>
      <c r="AR9" t="str">
        <v/>
      </c>
      <c r="AS9" s="1" t="str">
        <v/>
      </c>
      <c r="AT9" t="str">
        <v/>
      </c>
      <c r="AU9" t="str">
        <v/>
      </c>
      <c r="AV9" t="str">
        <v>EJEMPLO - backup buildreq-reset-movements-20260701-203055Z.sql - estado Revisada</v>
      </c>
      <c r="AW9" t="str">
        <v/>
      </c>
      <c r="AX9" t="str">
        <v>004 Mantenimiento rutinario CA-5</v>
      </c>
      <c r="AY9" t="str">
        <v>bodega_proyecto</v>
      </c>
      <c r="AZ9" t="str">
        <v>local</v>
      </c>
      <c r="BA9" t="str">
        <v>REQ-004-00000037</v>
      </c>
      <c r="BB9" t="str">
        <v>004</v>
      </c>
      <c r="BC9" t="str">
        <v/>
      </c>
      <c r="BD9" t="str">
        <v>SC-004-00000028</v>
      </c>
      <c r="BE9" t="str">
        <v>OC-004-00000025</v>
      </c>
      <c r="BF9" t="str">
        <v>Pendiente</v>
      </c>
      <c r="BG9" t="str">
        <v>FT-004-00000016</v>
      </c>
      <c r="BH9" t="str">
        <v>RE-004-00000023</v>
      </c>
    </row>
    <row r="10" ht="18" customHeight="1">
      <c r="A10" t="str">
        <v>FT-006-00000015</v>
      </c>
      <c r="B10" t="str">
        <v>006</v>
      </c>
      <c r="C10" t="str">
        <v>08019002276928</v>
      </c>
      <c r="D10" t="str">
        <v>CENTRAL DE REPUESTOS HONDUREÑA SA DE CV</v>
      </c>
      <c r="E10" t="str">
        <v>Banco</v>
      </c>
      <c r="F10" t="str">
        <v>Factura</v>
      </c>
      <c r="G10" s="1" t="d">
        <v>2026-06-02T00:00:00.000Z</v>
      </c>
      <c r="H10" t="str">
        <v>002</v>
      </c>
      <c r="I10" t="str">
        <v>002</v>
      </c>
      <c r="J10" t="str">
        <v>01</v>
      </c>
      <c r="K10" t="str">
        <v>00093999</v>
      </c>
      <c r="L10" t="str">
        <v>3F3009-B95610-6705E0-63BE03-090900-6D</v>
      </c>
      <c r="M10" t="str">
        <v>BANDA TRANSPORTADORA PIW330/3-1/4+1/16X3</v>
      </c>
      <c r="N10" s="2">
        <v>30</v>
      </c>
      <c r="O10" s="3">
        <v>11543</v>
      </c>
      <c r="P10" s="3" t="str">
        <v/>
      </c>
      <c r="Q10" s="3" t="str">
        <v/>
      </c>
      <c r="R10" s="3" t="str">
        <v/>
      </c>
      <c r="S10" t="str">
        <v/>
      </c>
      <c r="T10" t="str">
        <v>N/A</v>
      </c>
      <c r="U10" s="1" t="str">
        <v/>
      </c>
      <c r="V10" t="str">
        <v/>
      </c>
      <c r="W10" t="str">
        <v/>
      </c>
      <c r="X10" t="str">
        <v/>
      </c>
      <c r="Y10" t="str">
        <v/>
      </c>
      <c r="Z10" t="str">
        <v>HeH Honduras</v>
      </c>
      <c r="AA10" t="str">
        <v>006 Mantenimiento periódico</v>
      </c>
      <c r="AB10" s="3">
        <v>11543</v>
      </c>
      <c r="AC10" s="3">
        <v>1731.45</v>
      </c>
      <c r="AD10" s="3">
        <v>0</v>
      </c>
      <c r="AE10" s="3">
        <v>0</v>
      </c>
      <c r="AF10" s="3">
        <v>1731.45</v>
      </c>
      <c r="AG10" s="3">
        <v>13274.45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13274.45</v>
      </c>
      <c r="AN10" s="1" t="d">
        <v>2026-07-02T00:00:00.000Z</v>
      </c>
      <c r="AO10" t="str">
        <v>Crédito</v>
      </c>
      <c r="AP10" t="str">
        <v>Revisada</v>
      </c>
      <c r="AQ10" t="str">
        <v/>
      </c>
      <c r="AR10" t="str">
        <v/>
      </c>
      <c r="AS10" s="1" t="str">
        <v/>
      </c>
      <c r="AT10" t="str">
        <v/>
      </c>
      <c r="AU10" t="str">
        <v/>
      </c>
      <c r="AV10" t="str">
        <v>EJEMPLO - backup buildreq-reset-movements-20260701-203055Z.sql - estado Revisada</v>
      </c>
      <c r="AW10" t="str">
        <v/>
      </c>
      <c r="AX10" t="str">
        <v>006 Mantenimiento periódico</v>
      </c>
      <c r="AY10" t="str">
        <v>bodega_proyecto</v>
      </c>
      <c r="AZ10" t="str">
        <v>local</v>
      </c>
      <c r="BA10" t="str">
        <v>REQ-006-00000045</v>
      </c>
      <c r="BB10" t="str">
        <v>006</v>
      </c>
      <c r="BC10" t="str">
        <v/>
      </c>
      <c r="BD10" t="str">
        <v>SC-006-00000030</v>
      </c>
      <c r="BE10" t="str">
        <v>OC-006-00000020</v>
      </c>
      <c r="BF10" t="str">
        <v>Pendiente</v>
      </c>
      <c r="BG10" t="str">
        <v>FT-006-00000015</v>
      </c>
      <c r="BH10" t="str">
        <v>RE-006-00000018</v>
      </c>
    </row>
    <row r="11" ht="18" customHeight="1">
      <c r="A11" t="str">
        <v>FT-004-00000017</v>
      </c>
      <c r="B11" t="str">
        <v>004</v>
      </c>
      <c r="C11" t="str">
        <v>05109007088722</v>
      </c>
      <c r="D11" t="str">
        <v>LUBRICENTRO Y GASOLINERA LA BARCA S DE RL</v>
      </c>
      <c r="E11" t="str">
        <v>Banco</v>
      </c>
      <c r="F11" t="str">
        <v>Factura</v>
      </c>
      <c r="G11" s="1" t="d">
        <v>2026-06-02T00:00:00.000Z</v>
      </c>
      <c r="H11" t="str">
        <v>000</v>
      </c>
      <c r="I11" t="str">
        <v>001</v>
      </c>
      <c r="J11" t="str">
        <v>01</v>
      </c>
      <c r="K11" t="str">
        <v>00161633</v>
      </c>
      <c r="L11" t="str">
        <v>4CE9B9-981E72-F24BE0-63BE03-090919-DC</v>
      </c>
      <c r="M11" t="str">
        <v>ABASTECIMIENTO GASOLINA CHAPEADORAS Y EQUIPO MENOR</v>
      </c>
      <c r="N11" s="2">
        <v>30</v>
      </c>
      <c r="O11" s="3" t="str">
        <v/>
      </c>
      <c r="P11" s="3" t="str">
        <v/>
      </c>
      <c r="Q11" s="3" t="str">
        <v/>
      </c>
      <c r="R11" s="3">
        <v>61689.01</v>
      </c>
      <c r="S11" t="str">
        <v/>
      </c>
      <c r="T11" t="str">
        <v>N/A</v>
      </c>
      <c r="U11" s="1" t="str">
        <v/>
      </c>
      <c r="V11" t="str">
        <v/>
      </c>
      <c r="W11" t="str">
        <v/>
      </c>
      <c r="X11" t="str">
        <v/>
      </c>
      <c r="Y11" t="str">
        <v/>
      </c>
      <c r="Z11" t="str">
        <v>HeH Honduras</v>
      </c>
      <c r="AA11" t="str">
        <v>004 Mantenimiento rutinario CA-5</v>
      </c>
      <c r="AB11" s="3">
        <v>61689.01</v>
      </c>
      <c r="AC11" s="3">
        <v>0</v>
      </c>
      <c r="AD11" s="3">
        <v>0</v>
      </c>
      <c r="AE11" s="3">
        <v>0</v>
      </c>
      <c r="AF11" s="3">
        <v>0</v>
      </c>
      <c r="AG11" s="3">
        <v>61689.01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61689.01</v>
      </c>
      <c r="AN11" s="1" t="d">
        <v>2026-07-02T00:00:00.000Z</v>
      </c>
      <c r="AO11" t="str">
        <v>Crédito</v>
      </c>
      <c r="AP11" t="str">
        <v>Revisada</v>
      </c>
      <c r="AQ11" t="str">
        <v/>
      </c>
      <c r="AR11" t="str">
        <v/>
      </c>
      <c r="AS11" s="1" t="str">
        <v/>
      </c>
      <c r="AT11" t="str">
        <v/>
      </c>
      <c r="AU11" t="str">
        <v/>
      </c>
      <c r="AV11" t="str">
        <v>EJEMPLO - backup buildreq-reset-movements-20260701-203055Z.sql - estado Revisada</v>
      </c>
      <c r="AW11" t="str">
        <v/>
      </c>
      <c r="AX11" t="str">
        <v>004 Mantenimiento rutinario CA-5</v>
      </c>
      <c r="AY11" t="str">
        <v>bodega_proyecto</v>
      </c>
      <c r="AZ11" t="str">
        <v>local</v>
      </c>
      <c r="BA11" t="str">
        <v>REQ-004-00000038</v>
      </c>
      <c r="BB11" t="str">
        <v>004</v>
      </c>
      <c r="BC11" t="str">
        <v/>
      </c>
      <c r="BD11" t="str">
        <v>SC-004-00000029</v>
      </c>
      <c r="BE11" t="str">
        <v>OC-004-00000026</v>
      </c>
      <c r="BF11" t="str">
        <v>Pendiente</v>
      </c>
      <c r="BG11" t="str">
        <v>FT-004-00000017</v>
      </c>
      <c r="BH11" t="str">
        <v>RE-004-00000024</v>
      </c>
    </row>
    <row r="12" ht="18" customHeight="1">
      <c r="A12" t="str">
        <v>FT-006-00000012</v>
      </c>
      <c r="B12" t="str">
        <v>006</v>
      </c>
      <c r="C12" t="str">
        <v>08019002268287</v>
      </c>
      <c r="D12" t="str">
        <v>CENTRAL DE MANGUERAS SA CEMASA</v>
      </c>
      <c r="E12" t="str">
        <v>Banco</v>
      </c>
      <c r="F12" t="str">
        <v>Factura</v>
      </c>
      <c r="G12" s="1" t="d">
        <v>2026-06-03T00:00:00.000Z</v>
      </c>
      <c r="H12" t="str">
        <v>001</v>
      </c>
      <c r="I12" t="str">
        <v>001</v>
      </c>
      <c r="J12" t="str">
        <v>01</v>
      </c>
      <c r="K12" t="str">
        <v>00474082</v>
      </c>
      <c r="L12" t="str">
        <v>43E37E-443ACD-7DBCE0-63BE03-090900-E8</v>
      </c>
      <c r="M12" t="str">
        <v>CAMBIO DE CHUMACERAS MAL ESTADO</v>
      </c>
      <c r="N12" s="2">
        <v>30</v>
      </c>
      <c r="O12" s="3">
        <v>37240</v>
      </c>
      <c r="P12" s="3" t="str">
        <v/>
      </c>
      <c r="Q12" s="3" t="str">
        <v/>
      </c>
      <c r="R12" s="3" t="str">
        <v/>
      </c>
      <c r="S12" t="str">
        <v/>
      </c>
      <c r="T12" t="str">
        <v>N/A</v>
      </c>
      <c r="U12" s="1" t="str">
        <v/>
      </c>
      <c r="V12" t="str">
        <v/>
      </c>
      <c r="W12" t="str">
        <v/>
      </c>
      <c r="X12" t="str">
        <v/>
      </c>
      <c r="Y12" t="str">
        <v/>
      </c>
      <c r="Z12" t="str">
        <v>HeH Honduras</v>
      </c>
      <c r="AA12" t="str">
        <v>006 Mantenimiento periódico</v>
      </c>
      <c r="AB12" s="3">
        <v>37240</v>
      </c>
      <c r="AC12" s="3">
        <v>5586</v>
      </c>
      <c r="AD12" s="3">
        <v>0</v>
      </c>
      <c r="AE12" s="3">
        <v>0</v>
      </c>
      <c r="AF12" s="3">
        <v>5586</v>
      </c>
      <c r="AG12" s="3">
        <v>42826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42826</v>
      </c>
      <c r="AN12" s="1" t="d">
        <v>2026-07-03T00:00:00.000Z</v>
      </c>
      <c r="AO12" t="str">
        <v>Crédito</v>
      </c>
      <c r="AP12" t="str">
        <v>Revisada</v>
      </c>
      <c r="AQ12" t="str">
        <v/>
      </c>
      <c r="AR12" t="str">
        <v/>
      </c>
      <c r="AS12" s="1" t="str">
        <v/>
      </c>
      <c r="AT12" t="str">
        <v/>
      </c>
      <c r="AU12" t="str">
        <v/>
      </c>
      <c r="AV12" t="str">
        <v>EJEMPLO - backup buildreq-reset-movements-20260701-203055Z.sql - estado Revisada</v>
      </c>
      <c r="AW12" t="str">
        <v/>
      </c>
      <c r="AX12" t="str">
        <v>006 Mantenimiento periódico</v>
      </c>
      <c r="AY12" t="str">
        <v>bodega_proyecto</v>
      </c>
      <c r="AZ12" t="str">
        <v>local</v>
      </c>
      <c r="BA12" t="str">
        <v>REQ-006-00000039</v>
      </c>
      <c r="BB12" t="str">
        <v>006</v>
      </c>
      <c r="BC12" t="str">
        <v/>
      </c>
      <c r="BD12" t="str">
        <v>SC-006-00000024</v>
      </c>
      <c r="BE12" t="str">
        <v>OC-006-00000014</v>
      </c>
      <c r="BF12" t="str">
        <v>Pendiente</v>
      </c>
      <c r="BG12" t="str">
        <v>FT-006-00000012</v>
      </c>
      <c r="BH12" t="str">
        <v>RE-006-00000015</v>
      </c>
    </row>
    <row r="13" ht="18" customHeight="1">
      <c r="A13" t="str">
        <v>FT-006-00000019</v>
      </c>
      <c r="B13" t="str">
        <v>006</v>
      </c>
      <c r="C13" t="str">
        <v>08019008165911</v>
      </c>
      <c r="D13" t="str">
        <v>REENCAUCHE Y DISTRIBUCION DE LLANTAS SA DE CV</v>
      </c>
      <c r="E13" t="str">
        <v>Banco</v>
      </c>
      <c r="F13" t="str">
        <v>Factura</v>
      </c>
      <c r="G13" s="1" t="d">
        <v>2026-06-03T00:00:00.000Z</v>
      </c>
      <c r="H13" t="str">
        <v>001</v>
      </c>
      <c r="I13" t="str">
        <v>001</v>
      </c>
      <c r="J13" t="str">
        <v>01</v>
      </c>
      <c r="K13" t="str">
        <v>00028372</v>
      </c>
      <c r="L13" t="str">
        <v>436FED-1EBA71-5C0FE0-63BE03-0909B9-25</v>
      </c>
      <c r="M13" t="str">
        <v>CAMBIO DE LLANTAS EN MAL ESTADO</v>
      </c>
      <c r="N13" s="2">
        <v>30</v>
      </c>
      <c r="O13" s="3">
        <v>7081.66</v>
      </c>
      <c r="P13" s="3" t="str">
        <v/>
      </c>
      <c r="Q13" s="3" t="str">
        <v/>
      </c>
      <c r="R13" s="3" t="str">
        <v/>
      </c>
      <c r="S13" t="str">
        <v/>
      </c>
      <c r="T13" t="str">
        <v>N/A</v>
      </c>
      <c r="U13" s="1" t="str">
        <v/>
      </c>
      <c r="V13" t="str">
        <v/>
      </c>
      <c r="W13" t="str">
        <v/>
      </c>
      <c r="X13" t="str">
        <v/>
      </c>
      <c r="Y13" t="str">
        <v/>
      </c>
      <c r="Z13" t="str">
        <v>HeH Honduras</v>
      </c>
      <c r="AA13" t="str">
        <v>006 Mantenimiento periódico</v>
      </c>
      <c r="AB13" s="3">
        <v>7081.66</v>
      </c>
      <c r="AC13" s="3">
        <v>1062.25</v>
      </c>
      <c r="AD13" s="3">
        <v>0</v>
      </c>
      <c r="AE13" s="3">
        <v>0</v>
      </c>
      <c r="AF13" s="3">
        <v>1062.25</v>
      </c>
      <c r="AG13" s="3">
        <v>8143.91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8143.91</v>
      </c>
      <c r="AN13" s="1" t="d">
        <v>2026-07-03T00:00:00.000Z</v>
      </c>
      <c r="AO13" t="str">
        <v>Crédito</v>
      </c>
      <c r="AP13" t="str">
        <v>Revisada</v>
      </c>
      <c r="AQ13" t="str">
        <v/>
      </c>
      <c r="AR13" t="str">
        <v/>
      </c>
      <c r="AS13" s="1" t="str">
        <v/>
      </c>
      <c r="AT13" t="str">
        <v/>
      </c>
      <c r="AU13" t="str">
        <v/>
      </c>
      <c r="AV13" t="str">
        <v>EJEMPLO - backup buildreq-reset-movements-20260701-203055Z.sql - estado Revisada</v>
      </c>
      <c r="AW13" t="str">
        <v/>
      </c>
      <c r="AX13" t="str">
        <v>006 Mantenimiento periódico</v>
      </c>
      <c r="AY13" t="str">
        <v>bodega_proyecto</v>
      </c>
      <c r="AZ13" t="str">
        <v>local</v>
      </c>
      <c r="BA13" t="str">
        <v>REQ-006-00000048</v>
      </c>
      <c r="BB13" t="str">
        <v>006</v>
      </c>
      <c r="BC13" t="str">
        <v/>
      </c>
      <c r="BD13" t="str">
        <v>SC-006-00000032</v>
      </c>
      <c r="BE13" t="str">
        <v>OC-006-00000022</v>
      </c>
      <c r="BF13" t="str">
        <v>Pendiente</v>
      </c>
      <c r="BG13" t="str">
        <v>FT-006-00000019</v>
      </c>
      <c r="BH13" t="str">
        <v>RE-006-00000022</v>
      </c>
    </row>
    <row r="14" ht="18" customHeight="1">
      <c r="A14" t="str">
        <v>FT-006-00000020</v>
      </c>
      <c r="B14" t="str">
        <v>006</v>
      </c>
      <c r="C14" t="str">
        <v>05019995149469</v>
      </c>
      <c r="D14" t="str">
        <v>ULTRA REPUESTOS DE HONDURAS SA DE CV</v>
      </c>
      <c r="E14" t="str">
        <v>Banco</v>
      </c>
      <c r="F14" t="str">
        <v>Factura</v>
      </c>
      <c r="G14" s="1" t="d">
        <v>2026-06-04T00:00:00.000Z</v>
      </c>
      <c r="H14" t="str">
        <v>000</v>
      </c>
      <c r="I14" t="str">
        <v>003</v>
      </c>
      <c r="J14" t="str">
        <v>01</v>
      </c>
      <c r="K14" t="str">
        <v>00231202</v>
      </c>
      <c r="L14" t="str">
        <v>4EGA17-E32548-5727E0-638E03-090925-3F</v>
      </c>
      <c r="M14" t="str">
        <v>REPARACION DE FRENOS</v>
      </c>
      <c r="N14" s="2">
        <v>30</v>
      </c>
      <c r="O14" s="3">
        <v>5600</v>
      </c>
      <c r="P14" s="3" t="str">
        <v/>
      </c>
      <c r="Q14" s="3" t="str">
        <v/>
      </c>
      <c r="R14" s="3" t="str">
        <v/>
      </c>
      <c r="S14" t="str">
        <v/>
      </c>
      <c r="T14" t="str">
        <v>N/A</v>
      </c>
      <c r="U14" s="1" t="str">
        <v/>
      </c>
      <c r="V14" t="str">
        <v/>
      </c>
      <c r="W14" t="str">
        <v/>
      </c>
      <c r="X14" t="str">
        <v/>
      </c>
      <c r="Y14" t="str">
        <v/>
      </c>
      <c r="Z14" t="str">
        <v>HeH Honduras</v>
      </c>
      <c r="AA14" t="str">
        <v>006 Mantenimiento periódico</v>
      </c>
      <c r="AB14" s="3">
        <v>5600</v>
      </c>
      <c r="AC14" s="3">
        <v>840</v>
      </c>
      <c r="AD14" s="3">
        <v>0</v>
      </c>
      <c r="AE14" s="3">
        <v>0</v>
      </c>
      <c r="AF14" s="3">
        <v>840</v>
      </c>
      <c r="AG14" s="3">
        <v>6440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6440</v>
      </c>
      <c r="AN14" s="1" t="d">
        <v>2026-07-04T00:00:00.000Z</v>
      </c>
      <c r="AO14" t="str">
        <v>Crédito</v>
      </c>
      <c r="AP14" t="str">
        <v>Revisada</v>
      </c>
      <c r="AQ14" t="str">
        <v/>
      </c>
      <c r="AR14" t="str">
        <v/>
      </c>
      <c r="AS14" s="1" t="str">
        <v/>
      </c>
      <c r="AT14" t="str">
        <v/>
      </c>
      <c r="AU14" t="str">
        <v/>
      </c>
      <c r="AV14" t="str">
        <v>EJEMPLO - backup buildreq-reset-movements-20260701-203055Z.sql - estado Revisada</v>
      </c>
      <c r="AW14" t="str">
        <v/>
      </c>
      <c r="AX14" t="str">
        <v>006 Mantenimiento periódico</v>
      </c>
      <c r="AY14" t="str">
        <v>cerrada</v>
      </c>
      <c r="AZ14" t="str">
        <v>local</v>
      </c>
      <c r="BA14" t="str">
        <v>REQ-006-00000047</v>
      </c>
      <c r="BB14" t="str">
        <v>006</v>
      </c>
      <c r="BC14" t="str">
        <v/>
      </c>
      <c r="BD14" t="str">
        <v>SC-006-00000033</v>
      </c>
      <c r="BE14" t="str">
        <v>OC-006-00000023</v>
      </c>
      <c r="BF14" t="str">
        <v>Pendiente</v>
      </c>
      <c r="BG14" t="str">
        <v>FT-006-00000020</v>
      </c>
      <c r="BH14" t="str">
        <v>RE-006-00000023</v>
      </c>
    </row>
    <row r="15" ht="18" customHeight="1">
      <c r="A15" t="str">
        <v>FT-006-00000003</v>
      </c>
      <c r="B15" t="str">
        <v>006</v>
      </c>
      <c r="C15" t="str">
        <v>08029995457769</v>
      </c>
      <c r="D15" t="str">
        <v>UNO HONDURAS SA DE CV</v>
      </c>
      <c r="E15" t="str">
        <v>Banco</v>
      </c>
      <c r="F15" t="str">
        <v>Factura</v>
      </c>
      <c r="G15" s="1" t="d">
        <v>2026-06-06T00:00:00.000Z</v>
      </c>
      <c r="H15" t="str">
        <v>000</v>
      </c>
      <c r="I15" t="str">
        <v>002</v>
      </c>
      <c r="J15" t="str">
        <v>01</v>
      </c>
      <c r="K15" t="str">
        <v>00019283</v>
      </c>
      <c r="L15" t="str">
        <v>47BF1A-6377B4-EAE5E0-63BE03-090916-6A</v>
      </c>
      <c r="M15" t="str">
        <v>MANTENIMIENTO MAQUINAS Y VEHICULOS DEL PROYECTO</v>
      </c>
      <c r="N15" s="2">
        <v>214</v>
      </c>
      <c r="O15" s="3">
        <v>221210</v>
      </c>
      <c r="P15" s="3" t="str">
        <v/>
      </c>
      <c r="Q15" s="3" t="str">
        <v/>
      </c>
      <c r="R15" s="3" t="str">
        <v/>
      </c>
      <c r="S15" t="str">
        <v/>
      </c>
      <c r="T15" t="str">
        <v>N/A</v>
      </c>
      <c r="U15" s="1" t="str">
        <v/>
      </c>
      <c r="V15" t="str">
        <v/>
      </c>
      <c r="W15" t="str">
        <v/>
      </c>
      <c r="X15" t="str">
        <v/>
      </c>
      <c r="Y15" t="str">
        <v/>
      </c>
      <c r="Z15" t="str">
        <v>HeH Honduras</v>
      </c>
      <c r="AA15" t="str">
        <v>006 Mantenimiento periódico</v>
      </c>
      <c r="AB15" s="3">
        <v>221210</v>
      </c>
      <c r="AC15" s="3">
        <v>33181.5</v>
      </c>
      <c r="AD15" s="3">
        <v>0</v>
      </c>
      <c r="AE15" s="3">
        <v>0</v>
      </c>
      <c r="AF15" s="3">
        <v>33181.5</v>
      </c>
      <c r="AG15" s="3">
        <v>254391.5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254391.5</v>
      </c>
      <c r="AN15" s="1" t="d">
        <v>2027-01-06T00:00:00.000Z</v>
      </c>
      <c r="AO15" t="str">
        <v>Crédito</v>
      </c>
      <c r="AP15" t="str">
        <v>Borrador</v>
      </c>
      <c r="AQ15" t="str">
        <v/>
      </c>
      <c r="AR15" t="str">
        <v/>
      </c>
      <c r="AS15" s="1" t="str">
        <v/>
      </c>
      <c r="AT15" t="str">
        <v/>
      </c>
      <c r="AU15" t="str">
        <v/>
      </c>
      <c r="AV15" t="str">
        <v>EJEMPLO - backup buildreq-reset-movements-20260701-203055Z.sql - estado Borrador</v>
      </c>
      <c r="AW15" t="str">
        <v/>
      </c>
      <c r="AX15" t="str">
        <v>006 Mantenimiento periódico</v>
      </c>
      <c r="AY15" t="str">
        <v>bodega_proyecto</v>
      </c>
      <c r="AZ15" t="str">
        <v>local</v>
      </c>
      <c r="BA15" t="str">
        <v>REQ-006-00000006</v>
      </c>
      <c r="BB15" t="str">
        <v>006</v>
      </c>
      <c r="BC15" t="str">
        <v/>
      </c>
      <c r="BD15" t="str">
        <v>SC-006-00000004</v>
      </c>
      <c r="BE15" t="str">
        <v>OC-006-00000002</v>
      </c>
      <c r="BF15" t="str">
        <v>Pendiente</v>
      </c>
      <c r="BG15" t="str">
        <v>FT-006-00000003</v>
      </c>
      <c r="BH15" t="str">
        <v>RE-006-00000003</v>
      </c>
    </row>
    <row r="16" ht="18" customHeight="1">
      <c r="A16" t="str">
        <v>FT-006-00000016</v>
      </c>
      <c r="B16" t="str">
        <v>006</v>
      </c>
      <c r="C16" t="str">
        <v>08019002276928</v>
      </c>
      <c r="D16" t="str">
        <v>CENTRAL DE REPUESTOS HONDUREÑA SA DE CV</v>
      </c>
      <c r="E16" t="str">
        <v>Banco</v>
      </c>
      <c r="F16" t="str">
        <v>Factura</v>
      </c>
      <c r="G16" s="1" t="d">
        <v>2026-06-06T00:00:00.000Z</v>
      </c>
      <c r="H16" t="str">
        <v>002</v>
      </c>
      <c r="I16" t="str">
        <v>002</v>
      </c>
      <c r="J16" t="str">
        <v>01</v>
      </c>
      <c r="K16" t="str">
        <v>00094054</v>
      </c>
      <c r="L16" t="str">
        <v>3F3009-B95610-6705E0-63BE03-090900-6D</v>
      </c>
      <c r="M16" t="str">
        <v>SEÑALIZACION Y SEGURIDAD</v>
      </c>
      <c r="N16" s="2">
        <v>30</v>
      </c>
      <c r="O16" s="3">
        <v>26300</v>
      </c>
      <c r="P16" s="3" t="str">
        <v/>
      </c>
      <c r="Q16" s="3" t="str">
        <v/>
      </c>
      <c r="R16" s="3" t="str">
        <v/>
      </c>
      <c r="S16" t="str">
        <v/>
      </c>
      <c r="T16" t="str">
        <v>N/A</v>
      </c>
      <c r="U16" s="1" t="str">
        <v/>
      </c>
      <c r="V16" t="str">
        <v/>
      </c>
      <c r="W16" t="str">
        <v/>
      </c>
      <c r="X16" t="str">
        <v/>
      </c>
      <c r="Y16" t="str">
        <v/>
      </c>
      <c r="Z16" t="str">
        <v>HeH Honduras</v>
      </c>
      <c r="AA16" t="str">
        <v>006 Mantenimiento periódico</v>
      </c>
      <c r="AB16" s="3">
        <v>26300</v>
      </c>
      <c r="AC16" s="3">
        <v>3945</v>
      </c>
      <c r="AD16" s="3">
        <v>0</v>
      </c>
      <c r="AE16" s="3">
        <v>0</v>
      </c>
      <c r="AF16" s="3">
        <v>3945</v>
      </c>
      <c r="AG16" s="3">
        <v>30245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30245</v>
      </c>
      <c r="AN16" s="1" t="d">
        <v>2026-07-06T00:00:00.000Z</v>
      </c>
      <c r="AO16" t="str">
        <v>Crédito</v>
      </c>
      <c r="AP16" t="str">
        <v>Revisada</v>
      </c>
      <c r="AQ16" t="str">
        <v/>
      </c>
      <c r="AR16" t="str">
        <v/>
      </c>
      <c r="AS16" s="1" t="str">
        <v/>
      </c>
      <c r="AT16" t="str">
        <v/>
      </c>
      <c r="AU16" t="str">
        <v/>
      </c>
      <c r="AV16" t="str">
        <v>EJEMPLO - backup buildreq-reset-movements-20260701-203055Z.sql - estado Revisada</v>
      </c>
      <c r="AW16" t="str">
        <v/>
      </c>
      <c r="AX16" t="str">
        <v>006 Mantenimiento periódico</v>
      </c>
      <c r="AY16" t="str">
        <v>bodega_proyecto</v>
      </c>
      <c r="AZ16" t="str">
        <v>local</v>
      </c>
      <c r="BA16" t="str">
        <v>REQ-006-00000046</v>
      </c>
      <c r="BB16" t="str">
        <v>006</v>
      </c>
      <c r="BC16" t="str">
        <v/>
      </c>
      <c r="BD16" t="str">
        <v>SC-006-00000031</v>
      </c>
      <c r="BE16" t="str">
        <v>OC-006-00000021</v>
      </c>
      <c r="BF16" t="str">
        <v>Pendiente</v>
      </c>
      <c r="BG16" t="str">
        <v>FT-006-00000016</v>
      </c>
      <c r="BH16" t="str">
        <v>RE-006-00000019</v>
      </c>
    </row>
    <row r="17" ht="18" customHeight="1">
      <c r="A17" t="str">
        <v>FT-006-00000001</v>
      </c>
      <c r="B17" t="str">
        <v>006</v>
      </c>
      <c r="C17" t="str">
        <v>05019010301690</v>
      </c>
      <c r="D17" t="str">
        <v>ABCO HONDURAS SA DE CV</v>
      </c>
      <c r="E17" t="str">
        <v>Banco</v>
      </c>
      <c r="F17" t="str">
        <v>Factura</v>
      </c>
      <c r="G17" s="1" t="d">
        <v>2026-06-08T00:00:00.000Z</v>
      </c>
      <c r="H17" t="str">
        <v>111</v>
      </c>
      <c r="I17" t="str">
        <v>111</v>
      </c>
      <c r="J17" t="str">
        <v>11</v>
      </c>
      <c r="K17" t="str">
        <v>11111111</v>
      </c>
      <c r="L17" t="str">
        <v>111111-111111-111111-111111-111111-11</v>
      </c>
      <c r="M17" t="str">
        <v>CEMENTO GU EN SACO 42.5KG</v>
      </c>
      <c r="N17" s="2">
        <v>22</v>
      </c>
      <c r="O17" s="3" t="str">
        <v/>
      </c>
      <c r="P17" s="3" t="str">
        <v/>
      </c>
      <c r="Q17" s="3" t="str">
        <v/>
      </c>
      <c r="R17" s="3">
        <v>2000</v>
      </c>
      <c r="S17" t="str">
        <v/>
      </c>
      <c r="T17" t="str">
        <v>N/A</v>
      </c>
      <c r="U17" s="1" t="str">
        <v/>
      </c>
      <c r="V17" t="str">
        <v/>
      </c>
      <c r="W17" t="str">
        <v/>
      </c>
      <c r="X17" t="str">
        <v/>
      </c>
      <c r="Y17" t="str">
        <v/>
      </c>
      <c r="Z17" t="str">
        <v>HeH Honduras</v>
      </c>
      <c r="AA17" t="str">
        <v>006 Mantenimiento periódico</v>
      </c>
      <c r="AB17" s="3">
        <v>2000</v>
      </c>
      <c r="AC17" s="3">
        <v>0</v>
      </c>
      <c r="AD17" s="3">
        <v>0</v>
      </c>
      <c r="AE17" s="3">
        <v>0</v>
      </c>
      <c r="AF17" s="3">
        <v>0</v>
      </c>
      <c r="AG17" s="3">
        <v>2000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2000</v>
      </c>
      <c r="AN17" s="1" t="d">
        <v>2026-06-30T00:00:00.000Z</v>
      </c>
      <c r="AO17" t="str">
        <v>Crédito</v>
      </c>
      <c r="AP17" t="str">
        <v>Registrada</v>
      </c>
      <c r="AQ17" t="str">
        <v/>
      </c>
      <c r="AR17" t="str">
        <v/>
      </c>
      <c r="AS17" s="1" t="str">
        <v/>
      </c>
      <c r="AT17" t="str">
        <v/>
      </c>
      <c r="AU17" t="str">
        <v/>
      </c>
      <c r="AV17" t="str">
        <v>EJEMPLO - backup buildreq-reset-movements-20260701-203055Z.sql - estado Registrada</v>
      </c>
      <c r="AW17" t="str">
        <v/>
      </c>
      <c r="AX17" t="str">
        <v>006 Mantenimiento periódico</v>
      </c>
      <c r="AY17" t="str">
        <v>cerrada</v>
      </c>
      <c r="AZ17" t="str">
        <v>local</v>
      </c>
      <c r="BA17" t="str">
        <v>REQ-006-00000001</v>
      </c>
      <c r="BB17" t="str">
        <v>006</v>
      </c>
      <c r="BC17" t="str">
        <v/>
      </c>
      <c r="BD17" t="str">
        <v>SC-006-00000001</v>
      </c>
      <c r="BE17" t="str">
        <v>OC-006-00000001</v>
      </c>
      <c r="BF17" t="str">
        <v>Registrada</v>
      </c>
      <c r="BG17" t="str">
        <v>FT-006-00000001</v>
      </c>
      <c r="BH17" t="str">
        <v>RE-006-00000001</v>
      </c>
    </row>
    <row r="18" ht="18" customHeight="1">
      <c r="A18" t="str">
        <v>FT-006-00000002</v>
      </c>
      <c r="B18" t="str">
        <v>006</v>
      </c>
      <c r="C18" t="str">
        <v>05019010301690</v>
      </c>
      <c r="D18" t="str">
        <v>ABCO HONDURAS SA DE CV</v>
      </c>
      <c r="E18" t="str">
        <v>Banco</v>
      </c>
      <c r="F18" t="str">
        <v>Factura</v>
      </c>
      <c r="G18" s="1" t="d">
        <v>2026-06-08T00:00:00.000Z</v>
      </c>
      <c r="H18" t="str">
        <v>111</v>
      </c>
      <c r="I18" t="str">
        <v>111</v>
      </c>
      <c r="J18" t="str">
        <v>11</v>
      </c>
      <c r="K18" t="str">
        <v>11111112</v>
      </c>
      <c r="L18" t="str">
        <v>111111-111111-111111-111111-111111-11</v>
      </c>
      <c r="M18" t="str">
        <v>DISCO DE FRENO RETRO</v>
      </c>
      <c r="N18" s="2">
        <v>14</v>
      </c>
      <c r="O18" s="3">
        <v>6000</v>
      </c>
      <c r="P18" s="3" t="str">
        <v/>
      </c>
      <c r="Q18" s="3" t="str">
        <v/>
      </c>
      <c r="R18" s="3" t="str">
        <v/>
      </c>
      <c r="S18" t="str">
        <v/>
      </c>
      <c r="T18" t="str">
        <v>N/A</v>
      </c>
      <c r="U18" s="1" t="str">
        <v/>
      </c>
      <c r="V18" t="str">
        <v/>
      </c>
      <c r="W18" t="str">
        <v/>
      </c>
      <c r="X18" t="str">
        <v/>
      </c>
      <c r="Y18" t="str">
        <v/>
      </c>
      <c r="Z18" t="str">
        <v>HeH Honduras</v>
      </c>
      <c r="AA18" t="str">
        <v>006 Mantenimiento periódico</v>
      </c>
      <c r="AB18" s="3">
        <v>6000</v>
      </c>
      <c r="AC18" s="3">
        <v>900</v>
      </c>
      <c r="AD18" s="3">
        <v>0</v>
      </c>
      <c r="AE18" s="3">
        <v>0</v>
      </c>
      <c r="AF18" s="3">
        <v>900</v>
      </c>
      <c r="AG18" s="3">
        <v>6900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6900</v>
      </c>
      <c r="AN18" s="1" t="d">
        <v>2026-06-22T00:00:00.000Z</v>
      </c>
      <c r="AO18" t="str">
        <v>Crédito</v>
      </c>
      <c r="AP18" t="str">
        <v>Borrador</v>
      </c>
      <c r="AQ18" t="str">
        <v/>
      </c>
      <c r="AR18" t="str">
        <v/>
      </c>
      <c r="AS18" s="1" t="str">
        <v/>
      </c>
      <c r="AT18" t="str">
        <v/>
      </c>
      <c r="AU18" t="str">
        <v/>
      </c>
      <c r="AV18" t="str">
        <v>EJEMPLO - backup buildreq-reset-movements-20260701-203055Z.sql - estado Borrador</v>
      </c>
      <c r="AW18" t="str">
        <v/>
      </c>
      <c r="AX18" t="str">
        <v>006 Mantenimiento periódico</v>
      </c>
      <c r="AY18" t="str">
        <v>cerrada</v>
      </c>
      <c r="AZ18" t="str">
        <v>compra_directa</v>
      </c>
      <c r="BA18" t="str">
        <v>REQ-006-00000002</v>
      </c>
      <c r="BB18" t="str">
        <v>006</v>
      </c>
      <c r="BC18" t="str">
        <v/>
      </c>
      <c r="BD18" t="str">
        <v>SC-006-00000002</v>
      </c>
      <c r="BE18" t="str">
        <v>CD-006-00000001</v>
      </c>
      <c r="BF18" t="str">
        <v>Pendiente</v>
      </c>
      <c r="BG18" t="str">
        <v>FT-006-00000002</v>
      </c>
      <c r="BH18" t="str">
        <v>RE-006-00000002</v>
      </c>
    </row>
    <row r="19" ht="18" customHeight="1">
      <c r="A19" t="str">
        <v>FT-010-00000001</v>
      </c>
      <c r="B19" t="str">
        <v>010</v>
      </c>
      <c r="C19" t="str">
        <v>03019003258145</v>
      </c>
      <c r="D19" t="str">
        <v>ARGOS HONDURAS SA DE CV</v>
      </c>
      <c r="E19" t="str">
        <v>Banco</v>
      </c>
      <c r="F19" t="str">
        <v>Factura</v>
      </c>
      <c r="G19" s="1" t="d">
        <v>2026-06-08T00:00:00.000Z</v>
      </c>
      <c r="H19" t="str">
        <v>003</v>
      </c>
      <c r="I19" t="str">
        <v>001</v>
      </c>
      <c r="J19" t="str">
        <v>01</v>
      </c>
      <c r="K19" t="str">
        <v>00254360</v>
      </c>
      <c r="L19" t="str">
        <v>3D4864-731723-FE1DE0-63BE03-090966-FC</v>
      </c>
      <c r="M19" t="str">
        <v>CEMENTO GU EN SACO 42.5KG</v>
      </c>
      <c r="N19" s="2">
        <v>90</v>
      </c>
      <c r="O19" s="3">
        <v>98560</v>
      </c>
      <c r="P19" s="3" t="str">
        <v/>
      </c>
      <c r="Q19" s="3" t="str">
        <v/>
      </c>
      <c r="R19" s="3" t="str">
        <v/>
      </c>
      <c r="S19" t="str">
        <v/>
      </c>
      <c r="T19" t="str">
        <v>003-001-01-00254360</v>
      </c>
      <c r="U19" s="1" t="str">
        <v/>
      </c>
      <c r="V19" t="str">
        <v>SI</v>
      </c>
      <c r="W19" t="str">
        <v/>
      </c>
      <c r="X19" t="str">
        <v/>
      </c>
      <c r="Y19" t="str">
        <v/>
      </c>
      <c r="Z19" t="str">
        <v>HeH Honduras</v>
      </c>
      <c r="AA19" t="str">
        <v>010 Sistema de Agua Potable San José</v>
      </c>
      <c r="AB19" s="3">
        <v>98560</v>
      </c>
      <c r="AC19" s="3">
        <v>14784</v>
      </c>
      <c r="AD19" s="3">
        <v>0</v>
      </c>
      <c r="AE19" s="3">
        <v>0</v>
      </c>
      <c r="AF19" s="3">
        <v>14784</v>
      </c>
      <c r="AG19" s="3">
        <v>113344</v>
      </c>
      <c r="AH19" s="3">
        <v>985.6</v>
      </c>
      <c r="AI19" s="3">
        <v>0</v>
      </c>
      <c r="AJ19" s="3">
        <v>0</v>
      </c>
      <c r="AK19" s="3">
        <v>0</v>
      </c>
      <c r="AL19" s="3">
        <v>985.6</v>
      </c>
      <c r="AM19" s="3">
        <v>112358.4</v>
      </c>
      <c r="AN19" s="1" t="d">
        <v>2026-09-06T00:00:00.000Z</v>
      </c>
      <c r="AO19" t="str">
        <v>Crédito</v>
      </c>
      <c r="AP19" t="str">
        <v>Revisada</v>
      </c>
      <c r="AQ19" t="str">
        <v/>
      </c>
      <c r="AR19" t="str">
        <v/>
      </c>
      <c r="AS19" s="1" t="str">
        <v/>
      </c>
      <c r="AT19" t="str">
        <v/>
      </c>
      <c r="AU19" t="str">
        <v/>
      </c>
      <c r="AV19" t="str">
        <v>EJEMPLO - backup buildreq-reset-movements-20260701-203055Z.sql - estado Revisada</v>
      </c>
      <c r="AW19" t="str">
        <v/>
      </c>
      <c r="AX19" t="str">
        <v>010 Sistema de Agua Potable San José</v>
      </c>
      <c r="AY19" t="str">
        <v>bodega_proyecto</v>
      </c>
      <c r="AZ19" t="str">
        <v>compra_directa</v>
      </c>
      <c r="BA19" t="str">
        <v>REQ-010-00000006</v>
      </c>
      <c r="BB19" t="str">
        <v>010</v>
      </c>
      <c r="BC19" t="str">
        <v/>
      </c>
      <c r="BD19" t="str">
        <v>SC-010-00000002</v>
      </c>
      <c r="BE19" t="str">
        <v>CD-010-00000002</v>
      </c>
      <c r="BF19" t="str">
        <v>Pendiente</v>
      </c>
      <c r="BG19" t="str">
        <v>FT-010-00000001</v>
      </c>
      <c r="BH19" t="str">
        <v>RE-010-00000001</v>
      </c>
    </row>
    <row r="20" ht="18" customHeight="1">
      <c r="A20" t="str">
        <v>FT-010-00000004</v>
      </c>
      <c r="B20" t="str">
        <v>010</v>
      </c>
      <c r="C20" t="str">
        <v>05019003075145</v>
      </c>
      <c r="D20" t="str">
        <v>SUMINISTROS INTERNACIONALES S DE RL CV</v>
      </c>
      <c r="E20" t="str">
        <v>Banco</v>
      </c>
      <c r="F20" t="str">
        <v>Factura</v>
      </c>
      <c r="G20" s="1" t="d">
        <v>2026-06-08T00:00:00.000Z</v>
      </c>
      <c r="H20" t="str">
        <v>003</v>
      </c>
      <c r="I20" t="str">
        <v>001</v>
      </c>
      <c r="J20" t="str">
        <v>01</v>
      </c>
      <c r="K20" t="str">
        <v>00254360</v>
      </c>
      <c r="L20" t="str">
        <v>3D4864-731723-FE1DE0-63BE03-090966-FC</v>
      </c>
      <c r="M20" t="str">
        <v>ELECTRODO AWSE6011 1/8" / PORTA ELECTRODO 500AMP</v>
      </c>
      <c r="N20" s="2">
        <v>90</v>
      </c>
      <c r="O20" s="3">
        <v>2120</v>
      </c>
      <c r="P20" s="3" t="str">
        <v/>
      </c>
      <c r="Q20" s="3" t="str">
        <v/>
      </c>
      <c r="R20" s="3" t="str">
        <v/>
      </c>
      <c r="S20" t="str">
        <v/>
      </c>
      <c r="T20" t="str">
        <v>N/A</v>
      </c>
      <c r="U20" s="1" t="str">
        <v/>
      </c>
      <c r="V20" t="str">
        <v/>
      </c>
      <c r="W20" t="str">
        <v/>
      </c>
      <c r="X20" t="str">
        <v/>
      </c>
      <c r="Y20" t="str">
        <v/>
      </c>
      <c r="Z20" t="str">
        <v>HeH Honduras</v>
      </c>
      <c r="AA20" t="str">
        <v>010 Sistema de Agua Potable San José</v>
      </c>
      <c r="AB20" s="3">
        <v>2120</v>
      </c>
      <c r="AC20" s="3">
        <v>318</v>
      </c>
      <c r="AD20" s="3">
        <v>0</v>
      </c>
      <c r="AE20" s="3">
        <v>0</v>
      </c>
      <c r="AF20" s="3">
        <v>318</v>
      </c>
      <c r="AG20" s="3">
        <v>2438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2438</v>
      </c>
      <c r="AN20" s="1" t="d">
        <v>2026-09-06T00:00:00.000Z</v>
      </c>
      <c r="AO20" t="str">
        <v>Crédito</v>
      </c>
      <c r="AP20" t="str">
        <v>Borrador</v>
      </c>
      <c r="AQ20" t="str">
        <v/>
      </c>
      <c r="AR20" t="str">
        <v/>
      </c>
      <c r="AS20" s="1" t="str">
        <v/>
      </c>
      <c r="AT20" t="str">
        <v/>
      </c>
      <c r="AU20" t="str">
        <v/>
      </c>
      <c r="AV20" t="str">
        <v>EJEMPLO - backup buildreq-reset-movements-20260701-203055Z.sql - estado Borrador</v>
      </c>
      <c r="AW20" t="str">
        <v/>
      </c>
      <c r="AX20" t="str">
        <v>010 Sistema de Agua Potable San José</v>
      </c>
      <c r="AY20" t="str">
        <v>cerrada</v>
      </c>
      <c r="AZ20" t="str">
        <v>compra_directa</v>
      </c>
      <c r="BA20" t="str">
        <v>REQ-010-00000008</v>
      </c>
      <c r="BB20" t="str">
        <v>010</v>
      </c>
      <c r="BC20" t="str">
        <v/>
      </c>
      <c r="BD20" t="str">
        <v>SC-010-00000003</v>
      </c>
      <c r="BE20" t="str">
        <v>CD-010-00000004</v>
      </c>
      <c r="BF20" t="str">
        <v>Pendiente</v>
      </c>
      <c r="BG20" t="str">
        <v>FT-010-00000004</v>
      </c>
      <c r="BH20" t="str">
        <v>RE-010-00000004</v>
      </c>
    </row>
    <row r="21" ht="18" customHeight="1">
      <c r="A21" t="str">
        <v>FT-001-00000001</v>
      </c>
      <c r="B21" t="str">
        <v>001</v>
      </c>
      <c r="C21" t="str">
        <v>9137020232597011XY</v>
      </c>
      <c r="D21" t="str">
        <v>QINGDAO VISTAR TIRE CO LTD</v>
      </c>
      <c r="E21" t="str">
        <v>Banco</v>
      </c>
      <c r="F21" t="str">
        <v>Documento extranjero</v>
      </c>
      <c r="H21" t="str">
        <v>000145</v>
      </c>
      <c r="I21" t="str">
        <v/>
      </c>
      <c r="J21" t="str">
        <v/>
      </c>
      <c r="K21" t="str">
        <v/>
      </c>
      <c r="L21" t="str">
        <v>DGVXDFGDF</v>
      </c>
      <c r="M21" t="str">
        <v>LLANTA 11 R22.5 DELANTERO</v>
      </c>
      <c r="N21" s="2" t="str">
        <v/>
      </c>
      <c r="O21" s="3" t="str">
        <v/>
      </c>
      <c r="P21" s="3" t="str">
        <v/>
      </c>
      <c r="Q21" s="3" t="str">
        <v/>
      </c>
      <c r="R21" s="3">
        <v>5000</v>
      </c>
      <c r="S21" t="str">
        <v/>
      </c>
      <c r="T21" t="str">
        <v>N/A</v>
      </c>
      <c r="U21" s="1" t="str">
        <v/>
      </c>
      <c r="V21" t="str">
        <v/>
      </c>
      <c r="W21" t="str">
        <v/>
      </c>
      <c r="X21" t="str">
        <v/>
      </c>
      <c r="Y21" t="str">
        <v/>
      </c>
      <c r="Z21" t="str">
        <v>HeH Honduras</v>
      </c>
      <c r="AA21" t="str">
        <v>001 Oficina Central</v>
      </c>
      <c r="AB21" s="3">
        <v>5000</v>
      </c>
      <c r="AC21" s="3">
        <v>0</v>
      </c>
      <c r="AD21" s="3">
        <v>0</v>
      </c>
      <c r="AE21" s="3">
        <v>0</v>
      </c>
      <c r="AF21" s="3">
        <v>0</v>
      </c>
      <c r="AG21" s="3">
        <v>5000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5000</v>
      </c>
      <c r="AO21" t="str">
        <v>Contado</v>
      </c>
      <c r="AP21" t="str">
        <v>Borrador</v>
      </c>
      <c r="AQ21" t="str">
        <v/>
      </c>
      <c r="AR21" t="str">
        <v/>
      </c>
      <c r="AS21" s="1" t="str">
        <v/>
      </c>
      <c r="AT21" t="str">
        <v/>
      </c>
      <c r="AU21" t="str">
        <v/>
      </c>
      <c r="AV21" t="str">
        <v>EJEMPLO - backup buildreq-reset-movements-20260701-203055Z.sql - estado Borrador</v>
      </c>
      <c r="AW21" t="str">
        <v/>
      </c>
      <c r="AX21" t="str">
        <v>001 Oficina Central</v>
      </c>
      <c r="AY21" t="str">
        <v>bodega_proyecto</v>
      </c>
      <c r="AZ21" t="str">
        <v>compra_directa</v>
      </c>
      <c r="BA21" t="str">
        <v>REQ-001-00000003</v>
      </c>
      <c r="BB21" t="str">
        <v>001</v>
      </c>
      <c r="BC21" t="str">
        <v/>
      </c>
      <c r="BD21" t="str">
        <v>SC-001-00000001</v>
      </c>
      <c r="BE21" t="str">
        <v>CD-001-00000001</v>
      </c>
      <c r="BF21" t="str">
        <v/>
      </c>
      <c r="BG21" t="str">
        <v>FT-001-00000001</v>
      </c>
      <c r="BH21" t="str">
        <v>RE-001-00000001</v>
      </c>
    </row>
    <row r="22" ht="18" customHeight="1">
      <c r="A22" t="str">
        <v>FT-004-00000001</v>
      </c>
      <c r="B22" t="str">
        <v>004</v>
      </c>
      <c r="C22" t="str">
        <v>05029002059059</v>
      </c>
      <c r="D22" t="str">
        <v>CEMENTOS DEL NORTE SA</v>
      </c>
      <c r="E22" t="str">
        <v>Banco</v>
      </c>
      <c r="F22" t="str">
        <v>Documento extranjero</v>
      </c>
      <c r="H22" t="str">
        <v>FDGSD</v>
      </c>
      <c r="I22" t="str">
        <v/>
      </c>
      <c r="J22" t="str">
        <v/>
      </c>
      <c r="K22" t="str">
        <v/>
      </c>
      <c r="L22" t="str">
        <v>XZCVXCGBX</v>
      </c>
      <c r="M22" t="str">
        <v>CEMENTO TIPO GU SACO 42.5 KG</v>
      </c>
      <c r="N22" s="2" t="str">
        <v/>
      </c>
      <c r="O22" s="3">
        <v>7965</v>
      </c>
      <c r="P22" s="3" t="str">
        <v/>
      </c>
      <c r="Q22" s="3" t="str">
        <v/>
      </c>
      <c r="R22" s="3" t="str">
        <v/>
      </c>
      <c r="S22" t="str">
        <v/>
      </c>
      <c r="T22" t="str">
        <v>N/A</v>
      </c>
      <c r="U22" s="1" t="str">
        <v/>
      </c>
      <c r="V22" t="str">
        <v/>
      </c>
      <c r="W22" t="str">
        <v/>
      </c>
      <c r="X22" t="str">
        <v/>
      </c>
      <c r="Y22" t="str">
        <v/>
      </c>
      <c r="Z22" t="str">
        <v>HeH Honduras</v>
      </c>
      <c r="AA22" t="str">
        <v>004 Mantenimiento rutinario CA-5</v>
      </c>
      <c r="AB22" s="3">
        <v>7965</v>
      </c>
      <c r="AC22" s="3">
        <v>1194.75</v>
      </c>
      <c r="AD22" s="3">
        <v>0</v>
      </c>
      <c r="AE22" s="3">
        <v>0</v>
      </c>
      <c r="AF22" s="3">
        <v>1194.75</v>
      </c>
      <c r="AG22" s="3">
        <v>9159.75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9159.75</v>
      </c>
      <c r="AO22" t="str">
        <v>Contado</v>
      </c>
      <c r="AP22" t="str">
        <v>Borrador</v>
      </c>
      <c r="AQ22" t="str">
        <v/>
      </c>
      <c r="AR22" t="str">
        <v/>
      </c>
      <c r="AS22" s="1" t="str">
        <v/>
      </c>
      <c r="AT22" t="str">
        <v/>
      </c>
      <c r="AU22" t="str">
        <v/>
      </c>
      <c r="AV22" t="str">
        <v>EJEMPLO - backup buildreq-reset-movements-20260701-203055Z.sql - estado Borrador</v>
      </c>
      <c r="AW22" t="str">
        <v/>
      </c>
      <c r="AX22" t="str">
        <v>004 Mantenimiento rutinario CA-5</v>
      </c>
      <c r="AY22" t="str">
        <v>bodega_proyecto</v>
      </c>
      <c r="AZ22" t="str">
        <v>compra_directa</v>
      </c>
      <c r="BA22" t="str">
        <v>REQ-004-00000002</v>
      </c>
      <c r="BB22" t="str">
        <v>004</v>
      </c>
      <c r="BC22" t="str">
        <v/>
      </c>
      <c r="BD22" t="str">
        <v>SC-004-00000001</v>
      </c>
      <c r="BE22" t="str">
        <v>CD-004-00000001</v>
      </c>
      <c r="BF22" t="str">
        <v/>
      </c>
      <c r="BG22" t="str">
        <v>FT-004-00000001</v>
      </c>
      <c r="BH22" t="str">
        <v>RE-004-00000001</v>
      </c>
    </row>
    <row r="23" ht="18" customHeight="1">
      <c r="A23" t="str">
        <v>FT-006-00000004</v>
      </c>
      <c r="B23" t="str">
        <v>006</v>
      </c>
      <c r="C23" t="str">
        <v>05019002184650</v>
      </c>
      <c r="D23" t="str">
        <v>FERRETERIA FARAJ SA DE CV</v>
      </c>
      <c r="E23" t="str">
        <v>Banco</v>
      </c>
      <c r="F23" t="str">
        <v>Documento extranjero</v>
      </c>
      <c r="H23" t="str">
        <v>CSDFDS</v>
      </c>
      <c r="I23" t="str">
        <v/>
      </c>
      <c r="J23" t="str">
        <v/>
      </c>
      <c r="K23" t="str">
        <v/>
      </c>
      <c r="L23" t="str">
        <v>DFGBDB</v>
      </c>
      <c r="M23" t="str">
        <v>CEMENTO TIPO GU SACO 42.5 KG</v>
      </c>
      <c r="N23" s="2" t="str">
        <v/>
      </c>
      <c r="O23" s="3">
        <v>2000</v>
      </c>
      <c r="P23" s="3" t="str">
        <v/>
      </c>
      <c r="Q23" s="3" t="str">
        <v/>
      </c>
      <c r="R23" s="3" t="str">
        <v/>
      </c>
      <c r="S23" t="str">
        <v/>
      </c>
      <c r="T23" t="str">
        <v>N/A</v>
      </c>
      <c r="U23" s="1" t="str">
        <v/>
      </c>
      <c r="V23" t="str">
        <v/>
      </c>
      <c r="W23" t="str">
        <v/>
      </c>
      <c r="X23" t="str">
        <v/>
      </c>
      <c r="Y23" t="str">
        <v/>
      </c>
      <c r="Z23" t="str">
        <v>HeH Honduras</v>
      </c>
      <c r="AA23" t="str">
        <v>006 Mantenimiento periódico</v>
      </c>
      <c r="AB23" s="3">
        <v>2000</v>
      </c>
      <c r="AC23" s="3">
        <v>300</v>
      </c>
      <c r="AD23" s="3">
        <v>0</v>
      </c>
      <c r="AE23" s="3">
        <v>0</v>
      </c>
      <c r="AF23" s="3">
        <v>300</v>
      </c>
      <c r="AG23" s="3">
        <v>2300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2300</v>
      </c>
      <c r="AO23" t="str">
        <v>Contado</v>
      </c>
      <c r="AP23" t="str">
        <v>Registrada</v>
      </c>
      <c r="AQ23" t="str">
        <v/>
      </c>
      <c r="AR23" t="str">
        <v/>
      </c>
      <c r="AS23" s="1" t="str">
        <v/>
      </c>
      <c r="AT23" t="str">
        <v/>
      </c>
      <c r="AU23" t="str">
        <v/>
      </c>
      <c r="AV23" t="str">
        <v>EJEMPLO - backup buildreq-reset-movements-20260701-203055Z.sql - estado Registrada</v>
      </c>
      <c r="AW23" t="str">
        <v/>
      </c>
      <c r="AX23" t="str">
        <v>006 Mantenimiento periódico</v>
      </c>
      <c r="AY23" t="str">
        <v>bodega_proyecto</v>
      </c>
      <c r="AZ23" t="str">
        <v>compra_directa</v>
      </c>
      <c r="BA23" t="str">
        <v>REQ-006-00000008</v>
      </c>
      <c r="BB23" t="str">
        <v>006</v>
      </c>
      <c r="BC23" t="str">
        <v/>
      </c>
      <c r="BD23" t="str">
        <v>SC-006-00000005</v>
      </c>
      <c r="BE23" t="str">
        <v>CD-006-00000002</v>
      </c>
      <c r="BF23" t="str">
        <v/>
      </c>
      <c r="BG23" t="str">
        <v>FT-006-00000004</v>
      </c>
      <c r="BH23" t="str">
        <v>RE-006-00000004</v>
      </c>
    </row>
    <row r="24" ht="18" customHeight="1">
      <c r="A24" t="str">
        <v>FT-017-00000001</v>
      </c>
      <c r="B24" t="str">
        <v>017</v>
      </c>
      <c r="C24" t="str">
        <v>05029002059059</v>
      </c>
      <c r="D24" t="str">
        <v>CEMENTOS DEL NORTE SA</v>
      </c>
      <c r="E24" t="str">
        <v>Banco</v>
      </c>
      <c r="F24" t="str">
        <v>Factura</v>
      </c>
      <c r="G24" s="1" t="d">
        <v>2026-06-09T00:00:00.000Z</v>
      </c>
      <c r="H24" t="str">
        <v>000</v>
      </c>
      <c r="I24" t="str">
        <v>001</v>
      </c>
      <c r="J24" t="str">
        <v>01</v>
      </c>
      <c r="K24" t="str">
        <v>00757099</v>
      </c>
      <c r="L24" t="str">
        <v>4D7CA2-2303DE-BB0EE0-63BE03-090952-8B</v>
      </c>
      <c r="M24" t="str">
        <v>CEMENTO TIPO GU SACO 42.5 KG</v>
      </c>
      <c r="N24" s="2">
        <v>60</v>
      </c>
      <c r="O24" s="3">
        <v>17700</v>
      </c>
      <c r="P24" s="3" t="str">
        <v/>
      </c>
      <c r="Q24" s="3" t="str">
        <v/>
      </c>
      <c r="R24" s="3" t="str">
        <v/>
      </c>
      <c r="S24" t="str">
        <v/>
      </c>
      <c r="T24" t="str">
        <v>N/A</v>
      </c>
      <c r="U24" s="1" t="str">
        <v/>
      </c>
      <c r="V24" t="str">
        <v/>
      </c>
      <c r="W24" t="str">
        <v/>
      </c>
      <c r="X24" t="str">
        <v/>
      </c>
      <c r="Y24" t="str">
        <v/>
      </c>
      <c r="Z24" t="str">
        <v>HeH Honduras</v>
      </c>
      <c r="AA24" t="str">
        <v>017 CA-4 Ocotepeque - El Portillo</v>
      </c>
      <c r="AB24" s="3">
        <v>17700</v>
      </c>
      <c r="AC24" s="3">
        <v>2655</v>
      </c>
      <c r="AD24" s="3">
        <v>0</v>
      </c>
      <c r="AE24" s="3">
        <v>0</v>
      </c>
      <c r="AF24" s="3">
        <v>2655</v>
      </c>
      <c r="AG24" s="3">
        <v>20355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20355</v>
      </c>
      <c r="AN24" s="1" t="d">
        <v>2026-08-08T00:00:00.000Z</v>
      </c>
      <c r="AO24" t="str">
        <v>Crédito</v>
      </c>
      <c r="AP24" t="str">
        <v>Rechazada</v>
      </c>
      <c r="AQ24" t="str">
        <v/>
      </c>
      <c r="AR24" t="str">
        <v/>
      </c>
      <c r="AS24" s="1" t="str">
        <v/>
      </c>
      <c r="AT24" t="str">
        <v/>
      </c>
      <c r="AU24" t="str">
        <v/>
      </c>
      <c r="AV24" t="str">
        <v>EJEMPLO - backup buildreq-reset-movements-20260701-203055Z.sql - estado Rechazada</v>
      </c>
      <c r="AW24" t="str">
        <v/>
      </c>
      <c r="AX24" t="str">
        <v>017 CA-4 Ocotepeque - El Portillo</v>
      </c>
      <c r="AY24" t="str">
        <v>bodega_proyecto</v>
      </c>
      <c r="AZ24" t="str">
        <v>compra_directa</v>
      </c>
      <c r="BA24" t="str">
        <v>REQ-017-00000004</v>
      </c>
      <c r="BB24" t="str">
        <v>017</v>
      </c>
      <c r="BC24" t="str">
        <v/>
      </c>
      <c r="BD24" t="str">
        <v>SC-017-00000002</v>
      </c>
      <c r="BE24" t="str">
        <v>CD-017-00000001</v>
      </c>
      <c r="BF24" t="str">
        <v>Pendiente</v>
      </c>
      <c r="BG24" t="str">
        <v>FT-017-00000001</v>
      </c>
      <c r="BH24" t="str">
        <v>RE-017-00000001</v>
      </c>
    </row>
    <row r="25" ht="18" customHeight="1">
      <c r="A25" t="str">
        <v>FT-006-00000011</v>
      </c>
      <c r="B25" t="str">
        <v>006</v>
      </c>
      <c r="C25" t="str">
        <v>05019020218772</v>
      </c>
      <c r="D25" t="str">
        <v>INVERSIONES TC S DE RL</v>
      </c>
      <c r="E25" t="str">
        <v>Banco</v>
      </c>
      <c r="F25" t="str">
        <v>Factura</v>
      </c>
      <c r="G25" s="1" t="d">
        <v>2026-06-09T00:00:00.000Z</v>
      </c>
      <c r="H25" t="str">
        <v>000</v>
      </c>
      <c r="I25" t="str">
        <v>002</v>
      </c>
      <c r="J25" t="str">
        <v>01</v>
      </c>
      <c r="K25" t="str">
        <v>00014570</v>
      </c>
      <c r="L25" t="str">
        <v>5233F6-B20B51-5760E0-63BE03-0909A7-02</v>
      </c>
      <c r="M25" t="str">
        <v>SEÑALIZACION Y SEGURIDAD</v>
      </c>
      <c r="N25" s="2">
        <v>30</v>
      </c>
      <c r="O25" s="3">
        <v>3573.83</v>
      </c>
      <c r="P25" s="3" t="str">
        <v/>
      </c>
      <c r="Q25" s="3" t="str">
        <v/>
      </c>
      <c r="R25" s="3" t="str">
        <v/>
      </c>
      <c r="S25" t="str">
        <v/>
      </c>
      <c r="T25" t="str">
        <v>N/A</v>
      </c>
      <c r="U25" s="1" t="str">
        <v/>
      </c>
      <c r="V25" t="str">
        <v/>
      </c>
      <c r="W25" t="str">
        <v/>
      </c>
      <c r="X25" t="str">
        <v/>
      </c>
      <c r="Y25" t="str">
        <v/>
      </c>
      <c r="Z25" t="str">
        <v>HeH Honduras</v>
      </c>
      <c r="AA25" t="str">
        <v>006 Mantenimiento periódico</v>
      </c>
      <c r="AB25" s="3">
        <v>3573.83</v>
      </c>
      <c r="AC25" s="3">
        <v>536.07</v>
      </c>
      <c r="AD25" s="3">
        <v>0</v>
      </c>
      <c r="AE25" s="3">
        <v>0</v>
      </c>
      <c r="AF25" s="3">
        <v>536.07</v>
      </c>
      <c r="AG25" s="3">
        <v>4109.9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4109.9</v>
      </c>
      <c r="AN25" s="1" t="d">
        <v>2026-07-09T00:00:00.000Z</v>
      </c>
      <c r="AO25" t="str">
        <v>Crédito</v>
      </c>
      <c r="AP25" t="str">
        <v>Revisada</v>
      </c>
      <c r="AQ25" t="str">
        <v/>
      </c>
      <c r="AR25" t="str">
        <v/>
      </c>
      <c r="AS25" s="1" t="str">
        <v/>
      </c>
      <c r="AT25" t="str">
        <v/>
      </c>
      <c r="AU25" t="str">
        <v/>
      </c>
      <c r="AV25" t="str">
        <v>EJEMPLO - backup buildreq-reset-movements-20260701-203055Z.sql - estado Revisada</v>
      </c>
      <c r="AW25" t="str">
        <v/>
      </c>
      <c r="AX25" t="str">
        <v>006 Mantenimiento periódico</v>
      </c>
      <c r="AY25" t="str">
        <v>bodega_proyecto</v>
      </c>
      <c r="AZ25" t="str">
        <v>local</v>
      </c>
      <c r="BA25" t="str">
        <v>REQ-006-00000037</v>
      </c>
      <c r="BB25" t="str">
        <v>006</v>
      </c>
      <c r="BC25" t="str">
        <v/>
      </c>
      <c r="BD25" t="str">
        <v>SC-006-00000022</v>
      </c>
      <c r="BE25" t="str">
        <v>OC-006-00000012</v>
      </c>
      <c r="BF25" t="str">
        <v>Pendiente</v>
      </c>
      <c r="BG25" t="str">
        <v>FT-006-00000011</v>
      </c>
      <c r="BH25" t="str">
        <v>RE-006-00000014</v>
      </c>
    </row>
    <row r="26" ht="18" customHeight="1">
      <c r="A26" t="str">
        <v>FT-004-00000002</v>
      </c>
      <c r="B26" t="str">
        <v>004</v>
      </c>
      <c r="C26" t="str">
        <v>03019003258145</v>
      </c>
      <c r="D26" t="str">
        <v>ARGOS HONDURAS SA DE CV</v>
      </c>
      <c r="E26" t="str">
        <v>Banco</v>
      </c>
      <c r="F26" t="str">
        <v>Factura</v>
      </c>
      <c r="G26" s="1" t="d">
        <v>2026-06-10T00:00:00.000Z</v>
      </c>
      <c r="H26" t="str">
        <v>001</v>
      </c>
      <c r="I26" t="str">
        <v>001</v>
      </c>
      <c r="J26" t="str">
        <v>01</v>
      </c>
      <c r="K26" t="str">
        <v>00272523</v>
      </c>
      <c r="L26" t="str">
        <v>41AF08-6C0581-1452E0-63BE03-090920-B2</v>
      </c>
      <c r="M26" t="str">
        <v>CEMENTO GU EN SACO 42.5KG / ACARREO DE MATERIAL SELECTO, ARENA, GRAVA Y AGREGADOS</v>
      </c>
      <c r="N26" s="2">
        <v>30</v>
      </c>
      <c r="O26" s="3">
        <v>6000</v>
      </c>
      <c r="P26" s="3" t="str">
        <v/>
      </c>
      <c r="Q26" s="3" t="str">
        <v/>
      </c>
      <c r="R26" s="3">
        <v>1000</v>
      </c>
      <c r="S26" t="str">
        <v/>
      </c>
      <c r="T26" t="str">
        <v>NA</v>
      </c>
      <c r="U26" s="1" t="str">
        <v/>
      </c>
      <c r="V26" t="str">
        <v>SI</v>
      </c>
      <c r="W26" t="str">
        <v>SI</v>
      </c>
      <c r="X26" t="str">
        <v/>
      </c>
      <c r="Y26" t="str">
        <v/>
      </c>
      <c r="Z26" t="str">
        <v>HeH Honduras</v>
      </c>
      <c r="AA26" t="str">
        <v>004 Mantenimiento rutinario CA-5</v>
      </c>
      <c r="AB26" s="3">
        <v>7000</v>
      </c>
      <c r="AC26" s="3">
        <v>900</v>
      </c>
      <c r="AD26" s="3">
        <v>0</v>
      </c>
      <c r="AE26" s="3">
        <v>0</v>
      </c>
      <c r="AF26" s="3">
        <v>900</v>
      </c>
      <c r="AG26" s="3">
        <v>7900</v>
      </c>
      <c r="AH26" s="3">
        <v>60</v>
      </c>
      <c r="AI26" s="3">
        <v>125</v>
      </c>
      <c r="AJ26" s="3">
        <v>0</v>
      </c>
      <c r="AK26" s="3">
        <v>0</v>
      </c>
      <c r="AL26" s="3">
        <v>185</v>
      </c>
      <c r="AM26" s="3">
        <v>7715</v>
      </c>
      <c r="AN26" s="1" t="d">
        <v>2026-07-10T00:00:00.000Z</v>
      </c>
      <c r="AO26" t="str">
        <v>Crédito</v>
      </c>
      <c r="AP26" t="str">
        <v>Registrada</v>
      </c>
      <c r="AQ26" t="str">
        <v/>
      </c>
      <c r="AR26" t="str">
        <v/>
      </c>
      <c r="AS26" s="1" t="str">
        <v/>
      </c>
      <c r="AT26" t="str">
        <v/>
      </c>
      <c r="AU26" t="str">
        <v/>
      </c>
      <c r="AV26" t="str">
        <v>EJEMPLO - backup buildreq-reset-movements-20260701-203055Z.sql - estado Registrada</v>
      </c>
      <c r="AW26" t="str">
        <v/>
      </c>
      <c r="AX26" t="str">
        <v>004 Mantenimiento rutinario CA-5</v>
      </c>
      <c r="AY26" t="str">
        <v>bodega_proyecto</v>
      </c>
      <c r="AZ26" t="str">
        <v>local</v>
      </c>
      <c r="BA26" t="str">
        <v>REQ-004-00000005</v>
      </c>
      <c r="BB26" t="str">
        <v>004</v>
      </c>
      <c r="BC26" t="str">
        <v/>
      </c>
      <c r="BD26" t="str">
        <v>SC-004-00000002</v>
      </c>
      <c r="BE26" t="str">
        <v>CD-004-00000002</v>
      </c>
      <c r="BF26" t="str">
        <v>Registrada</v>
      </c>
      <c r="BG26" t="str">
        <v>FT-004-00000002</v>
      </c>
      <c r="BH26" t="str">
        <v>RE-004-00000002</v>
      </c>
    </row>
    <row r="27" ht="18" customHeight="1">
      <c r="A27" t="str">
        <v>FT-004-00000003</v>
      </c>
      <c r="B27" t="str">
        <v>SUBPROYECTO1 ETAPA 1</v>
      </c>
      <c r="C27" t="str">
        <v>05019007094258</v>
      </c>
      <c r="D27" t="str">
        <v>FERREMAS S DE RL</v>
      </c>
      <c r="E27" t="str">
        <v>Banco</v>
      </c>
      <c r="F27" t="str">
        <v>Factura</v>
      </c>
      <c r="G27" s="1" t="d">
        <v>2026-06-10T00:00:00.000Z</v>
      </c>
      <c r="H27" t="str">
        <v>001</v>
      </c>
      <c r="I27" t="str">
        <v>001</v>
      </c>
      <c r="J27" t="str">
        <v>01</v>
      </c>
      <c r="K27" t="str">
        <v>00272523</v>
      </c>
      <c r="L27" t="str">
        <v>222222-231875-148943-197616-111111-11</v>
      </c>
      <c r="M27" t="str">
        <v>CREDITO 30 DIAS PAGO PROVEEDOR TRANSF BAC CTA DE CHEQUE NO. 70122828 A NOMBRE DE FERREMAS</v>
      </c>
      <c r="N27" s="2">
        <v>30</v>
      </c>
      <c r="O27" s="3" t="str">
        <v/>
      </c>
      <c r="P27" s="3" t="str">
        <v/>
      </c>
      <c r="Q27" s="3" t="str">
        <v/>
      </c>
      <c r="R27" s="3">
        <v>2000</v>
      </c>
      <c r="S27" t="str">
        <v/>
      </c>
      <c r="T27" t="str">
        <v>0001-001-11-00000001</v>
      </c>
      <c r="U27" s="1" t="str">
        <v/>
      </c>
      <c r="V27" t="str">
        <v>SI</v>
      </c>
      <c r="W27" t="str">
        <v/>
      </c>
      <c r="X27" t="str">
        <v/>
      </c>
      <c r="Y27" t="str">
        <v/>
      </c>
      <c r="Z27" t="str">
        <v>HeH Honduras</v>
      </c>
      <c r="AA27" t="str">
        <v>004 Mantenimiento rutinario CA-5</v>
      </c>
      <c r="AB27" s="3">
        <v>2000</v>
      </c>
      <c r="AC27" s="3">
        <v>0</v>
      </c>
      <c r="AD27" s="3">
        <v>0</v>
      </c>
      <c r="AE27" s="3">
        <v>0</v>
      </c>
      <c r="AF27" s="3">
        <v>0</v>
      </c>
      <c r="AG27" s="3">
        <v>2000</v>
      </c>
      <c r="AH27" s="3">
        <v>20</v>
      </c>
      <c r="AI27" s="3">
        <v>0</v>
      </c>
      <c r="AJ27" s="3">
        <v>0</v>
      </c>
      <c r="AK27" s="3">
        <v>0</v>
      </c>
      <c r="AL27" s="3">
        <v>20</v>
      </c>
      <c r="AM27" s="3">
        <v>1980</v>
      </c>
      <c r="AN27" s="1" t="d">
        <v>2026-07-10T00:00:00.000Z</v>
      </c>
      <c r="AO27" t="str">
        <v>Crédito</v>
      </c>
      <c r="AP27" t="str">
        <v>Rechazada</v>
      </c>
      <c r="AQ27" t="str">
        <v/>
      </c>
      <c r="AR27" t="str">
        <v/>
      </c>
      <c r="AS27" s="1" t="str">
        <v/>
      </c>
      <c r="AT27" t="str">
        <v/>
      </c>
      <c r="AU27" t="str">
        <v/>
      </c>
      <c r="AV27" t="str">
        <v>EJEMPLO - backup buildreq-reset-movements-20260701-203055Z.sql - estado Rechazada</v>
      </c>
      <c r="AW27" t="str">
        <v/>
      </c>
      <c r="AX27" t="str">
        <v>004 Mantenimiento rutinario CA-5</v>
      </c>
      <c r="AY27" t="str">
        <v>bodega_proyecto</v>
      </c>
      <c r="AZ27" t="str">
        <v>compra_directa</v>
      </c>
      <c r="BA27" t="str">
        <v>REQ-004-00000007</v>
      </c>
      <c r="BB27" t="str">
        <v>004</v>
      </c>
      <c r="BC27" t="str">
        <v>SUBPROYECTO1 ETAPA 1</v>
      </c>
      <c r="BD27" t="str">
        <v>SC-004-00000003</v>
      </c>
      <c r="BE27" t="str">
        <v>OC-004-00000001</v>
      </c>
      <c r="BF27" t="str">
        <v>Pendiente</v>
      </c>
      <c r="BG27" t="str">
        <v>FT-004-00000003</v>
      </c>
      <c r="BH27" t="str">
        <v>RE-004-00000003</v>
      </c>
    </row>
    <row r="28" ht="18" customHeight="1">
      <c r="A28" t="str">
        <v>FT-006-00000005</v>
      </c>
      <c r="B28" t="str">
        <v>006</v>
      </c>
      <c r="C28" t="str">
        <v>05019002184650</v>
      </c>
      <c r="D28" t="str">
        <v>FERRETERIA FARAJ SA DE CV</v>
      </c>
      <c r="E28" t="str">
        <v>Banco</v>
      </c>
      <c r="F28" t="str">
        <v>Documento extranjero</v>
      </c>
      <c r="G28" s="1" t="d">
        <v>2026-06-10T00:00:00.000Z</v>
      </c>
      <c r="H28" t="str">
        <v>000</v>
      </c>
      <c r="I28" t="str">
        <v/>
      </c>
      <c r="J28" t="str">
        <v/>
      </c>
      <c r="K28" t="str">
        <v/>
      </c>
      <c r="L28" t="str">
        <v/>
      </c>
      <c r="M28" t="str">
        <v>CUNETAS</v>
      </c>
      <c r="N28" s="2">
        <v>30</v>
      </c>
      <c r="O28" s="3" t="str">
        <v/>
      </c>
      <c r="P28" s="3" t="str">
        <v/>
      </c>
      <c r="Q28" s="3" t="str">
        <v/>
      </c>
      <c r="R28" s="3">
        <v>20000</v>
      </c>
      <c r="S28" t="str">
        <v/>
      </c>
      <c r="T28" t="str">
        <v>N/A</v>
      </c>
      <c r="U28" s="1" t="str">
        <v/>
      </c>
      <c r="V28" t="str">
        <v/>
      </c>
      <c r="W28" t="str">
        <v/>
      </c>
      <c r="X28" t="str">
        <v/>
      </c>
      <c r="Y28" t="str">
        <v/>
      </c>
      <c r="Z28" t="str">
        <v>HeH Honduras</v>
      </c>
      <c r="AA28" t="str">
        <v>006 Mantenimiento periódico</v>
      </c>
      <c r="AB28" s="3">
        <v>20000</v>
      </c>
      <c r="AC28" s="3">
        <v>0</v>
      </c>
      <c r="AD28" s="3">
        <v>0</v>
      </c>
      <c r="AE28" s="3">
        <v>0</v>
      </c>
      <c r="AF28" s="3">
        <v>0</v>
      </c>
      <c r="AG28" s="3">
        <v>20000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20000</v>
      </c>
      <c r="AN28" s="1" t="d">
        <v>2026-07-10T00:00:00.000Z</v>
      </c>
      <c r="AO28" t="str">
        <v>Crédito</v>
      </c>
      <c r="AP28" t="str">
        <v>Borrador</v>
      </c>
      <c r="AQ28" t="str">
        <v/>
      </c>
      <c r="AR28" t="str">
        <v/>
      </c>
      <c r="AS28" s="1" t="str">
        <v/>
      </c>
      <c r="AT28" t="str">
        <v/>
      </c>
      <c r="AU28" t="str">
        <v/>
      </c>
      <c r="AV28" t="str">
        <v>EJEMPLO - backup buildreq-reset-movements-20260701-203055Z.sql - estado Borrador</v>
      </c>
      <c r="AW28" t="str">
        <v/>
      </c>
      <c r="AX28" t="str">
        <v>006 Mantenimiento periódico</v>
      </c>
      <c r="AY28" t="str">
        <v>bodega_proyecto</v>
      </c>
      <c r="AZ28" t="str">
        <v>local</v>
      </c>
      <c r="BA28" t="str">
        <v>REQ-006-00000016</v>
      </c>
      <c r="BB28" t="str">
        <v>006</v>
      </c>
      <c r="BC28" t="str">
        <v/>
      </c>
      <c r="BD28" t="str">
        <v>SC-006-00000008</v>
      </c>
      <c r="BE28" t="str">
        <v>OC-006-00000004</v>
      </c>
      <c r="BF28" t="str">
        <v>Pendiente</v>
      </c>
      <c r="BG28" t="str">
        <v>FT-006-00000005</v>
      </c>
      <c r="BH28" t="str">
        <v>RE-006-00000007</v>
      </c>
    </row>
    <row r="29" ht="18" customHeight="1">
      <c r="A29" t="str">
        <v>FT-006-00000006</v>
      </c>
      <c r="B29" t="str">
        <v>006</v>
      </c>
      <c r="C29" t="str">
        <v>08019000235234</v>
      </c>
      <c r="D29" t="str">
        <v>LARACH Y CIA S DE RL DE CV</v>
      </c>
      <c r="E29" t="str">
        <v>Banco</v>
      </c>
      <c r="F29" t="str">
        <v>Factura</v>
      </c>
      <c r="G29" s="1" t="d">
        <v>2026-06-10T00:00:00.000Z</v>
      </c>
      <c r="H29" t="str">
        <v>111</v>
      </c>
      <c r="I29" t="str">
        <v>111</v>
      </c>
      <c r="J29" t="str">
        <v>11</v>
      </c>
      <c r="K29" t="str">
        <v>11111124</v>
      </c>
      <c r="L29" t="str">
        <v>555555-555555-555555-555555-555555-55</v>
      </c>
      <c r="M29" t="str">
        <v>CEMENTO GU EN SACO 42.5KG</v>
      </c>
      <c r="N29" s="2">
        <v>14</v>
      </c>
      <c r="O29" s="3" t="str">
        <v/>
      </c>
      <c r="P29" s="3" t="str">
        <v/>
      </c>
      <c r="Q29" s="3" t="str">
        <v/>
      </c>
      <c r="R29" s="3">
        <v>30000</v>
      </c>
      <c r="S29" t="str">
        <v/>
      </c>
      <c r="T29" t="str">
        <v>N/A</v>
      </c>
      <c r="U29" s="1" t="str">
        <v/>
      </c>
      <c r="V29" t="str">
        <v/>
      </c>
      <c r="W29" t="str">
        <v/>
      </c>
      <c r="X29" t="str">
        <v/>
      </c>
      <c r="Y29" t="str">
        <v/>
      </c>
      <c r="Z29" t="str">
        <v>HeH Honduras</v>
      </c>
      <c r="AA29" t="str">
        <v>006 Mantenimiento periódico</v>
      </c>
      <c r="AB29" s="3">
        <v>30000</v>
      </c>
      <c r="AC29" s="3">
        <v>0</v>
      </c>
      <c r="AD29" s="3">
        <v>0</v>
      </c>
      <c r="AE29" s="3">
        <v>0</v>
      </c>
      <c r="AF29" s="3">
        <v>0</v>
      </c>
      <c r="AG29" s="3">
        <v>30000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30000</v>
      </c>
      <c r="AN29" s="1" t="d">
        <v>2026-06-24T00:00:00.000Z</v>
      </c>
      <c r="AO29" t="str">
        <v>Crédito</v>
      </c>
      <c r="AP29" t="str">
        <v>Registrada</v>
      </c>
      <c r="AQ29" t="str">
        <v/>
      </c>
      <c r="AR29" t="str">
        <v/>
      </c>
      <c r="AS29" s="1" t="str">
        <v/>
      </c>
      <c r="AT29" t="str">
        <v/>
      </c>
      <c r="AU29" t="str">
        <v/>
      </c>
      <c r="AV29" t="str">
        <v>EJEMPLO - backup buildreq-reset-movements-20260701-203055Z.sql - estado Registrada</v>
      </c>
      <c r="AW29" t="str">
        <v/>
      </c>
      <c r="AX29" t="str">
        <v>006 Mantenimiento periódico</v>
      </c>
      <c r="AY29" t="str">
        <v>cerrada</v>
      </c>
      <c r="AZ29" t="str">
        <v>compra_directa</v>
      </c>
      <c r="BA29" t="str">
        <v>REQ-006-00000019</v>
      </c>
      <c r="BB29" t="str">
        <v>006</v>
      </c>
      <c r="BC29" t="str">
        <v/>
      </c>
      <c r="BD29" t="str">
        <v>SC-006-00000009</v>
      </c>
      <c r="BE29" t="str">
        <v>CD-006-00000003</v>
      </c>
      <c r="BF29" t="str">
        <v>Registrada</v>
      </c>
      <c r="BG29" t="str">
        <v>FT-006-00000006</v>
      </c>
      <c r="BH29" t="str">
        <v>RE-006-00000008</v>
      </c>
    </row>
    <row r="30" ht="18" customHeight="1">
      <c r="A30" t="str">
        <v>FT-004-00000004</v>
      </c>
      <c r="B30" t="str">
        <v>004</v>
      </c>
      <c r="C30" t="str">
        <v>05019005461426</v>
      </c>
      <c r="D30" t="str">
        <v>AUTO REPUESTOS BIGOTE S DE RL DE CV</v>
      </c>
      <c r="E30" t="str">
        <v>Banco</v>
      </c>
      <c r="F30" t="str">
        <v>Factura</v>
      </c>
      <c r="G30" s="1" t="d">
        <v>2026-06-10T00:00:00.000Z</v>
      </c>
      <c r="H30" t="str">
        <v>001</v>
      </c>
      <c r="I30" t="str">
        <v>001</v>
      </c>
      <c r="J30" t="str">
        <v>01</v>
      </c>
      <c r="K30" t="str">
        <v>00241002</v>
      </c>
      <c r="L30" t="str">
        <v>41AF08-6C0581-1452E0-63BE03-090928-12</v>
      </c>
      <c r="M30" t="str">
        <v>CREDITO 15 DIAS - POR MEDIO DE TRANSFERENCIA BANCARIA</v>
      </c>
      <c r="N30" s="2">
        <v>15</v>
      </c>
      <c r="O30" s="3">
        <v>1999.99</v>
      </c>
      <c r="P30" s="3" t="str">
        <v/>
      </c>
      <c r="Q30" s="3" t="str">
        <v/>
      </c>
      <c r="R30" s="3" t="str">
        <v/>
      </c>
      <c r="S30" t="str">
        <v/>
      </c>
      <c r="T30" t="str">
        <v>001-001-11-00000002</v>
      </c>
      <c r="U30" s="1" t="str">
        <v/>
      </c>
      <c r="V30" t="str">
        <v>SI</v>
      </c>
      <c r="W30" t="str">
        <v/>
      </c>
      <c r="X30" t="str">
        <v/>
      </c>
      <c r="Y30" t="str">
        <v>SI</v>
      </c>
      <c r="Z30" t="str">
        <v>HeH Honduras</v>
      </c>
      <c r="AA30" t="str">
        <v>004 Mantenimiento rutinario CA-5</v>
      </c>
      <c r="AB30" s="3">
        <v>1999.99</v>
      </c>
      <c r="AC30" s="3">
        <v>300</v>
      </c>
      <c r="AD30" s="3">
        <v>0</v>
      </c>
      <c r="AE30" s="3">
        <v>0</v>
      </c>
      <c r="AF30" s="3">
        <v>300</v>
      </c>
      <c r="AG30" s="3">
        <v>2299.99</v>
      </c>
      <c r="AH30" s="3">
        <v>20</v>
      </c>
      <c r="AI30" s="3">
        <v>0</v>
      </c>
      <c r="AJ30" s="3">
        <v>0</v>
      </c>
      <c r="AK30" s="3">
        <v>300</v>
      </c>
      <c r="AL30" s="3">
        <v>320</v>
      </c>
      <c r="AM30" s="3">
        <v>1979.99</v>
      </c>
      <c r="AN30" s="1" t="d">
        <v>2026-06-25T00:00:00.000Z</v>
      </c>
      <c r="AO30" t="str">
        <v>Crédito</v>
      </c>
      <c r="AP30" t="str">
        <v>Registrada</v>
      </c>
      <c r="AQ30" t="str">
        <v/>
      </c>
      <c r="AR30" t="str">
        <v/>
      </c>
      <c r="AS30" s="1" t="str">
        <v/>
      </c>
      <c r="AT30" t="str">
        <v/>
      </c>
      <c r="AU30" t="str">
        <v/>
      </c>
      <c r="AV30" t="str">
        <v>EJEMPLO - backup buildreq-reset-movements-20260701-203055Z.sql - estado Registrada</v>
      </c>
      <c r="AW30" t="str">
        <v/>
      </c>
      <c r="AX30" t="str">
        <v>004 Mantenimiento rutinario CA-5</v>
      </c>
      <c r="AY30" t="str">
        <v>bodega_proyecto</v>
      </c>
      <c r="AZ30" t="str">
        <v>compra_directa</v>
      </c>
      <c r="BA30" t="str">
        <v>REQ-004-00000007</v>
      </c>
      <c r="BB30" t="str">
        <v>004</v>
      </c>
      <c r="BC30" t="str">
        <v/>
      </c>
      <c r="BD30" t="str">
        <v>SC-004-00000003</v>
      </c>
      <c r="BE30" t="str">
        <v>CD-004-00000003</v>
      </c>
      <c r="BF30" t="str">
        <v>Registrada</v>
      </c>
      <c r="BG30" t="str">
        <v>FT-004-00000004</v>
      </c>
      <c r="BH30" t="str">
        <v>RE-004-00000004</v>
      </c>
    </row>
    <row r="31" ht="18" customHeight="1">
      <c r="A31" t="str">
        <v>FT-010-00000003</v>
      </c>
      <c r="B31" t="str">
        <v>010</v>
      </c>
      <c r="C31" t="str">
        <v>05011979082558</v>
      </c>
      <c r="D31" t="str">
        <v>CLAROS CARIAS OMAR ALEXIS</v>
      </c>
      <c r="E31" t="str">
        <v>Banco</v>
      </c>
      <c r="F31" t="str">
        <v>Factura</v>
      </c>
      <c r="G31" s="1" t="d">
        <v>2026-06-10T00:00:00.000Z</v>
      </c>
      <c r="H31" t="str">
        <v>000</v>
      </c>
      <c r="I31" t="str">
        <v>001</v>
      </c>
      <c r="J31" t="str">
        <v>04</v>
      </c>
      <c r="K31" t="str">
        <v>00002388</v>
      </c>
      <c r="L31" t="str">
        <v>437DD1-778D8D-0959E0-63BE03-0909A9-9F</v>
      </c>
      <c r="M31" t="str">
        <v>50% DE HONORARIOS POR PROCESO DE RESIDENCIA DEL ING NASSER GORDILLO Y GASTOS DEL PROCESO</v>
      </c>
      <c r="N31" s="2">
        <v>0</v>
      </c>
      <c r="O31" s="3" t="str">
        <v/>
      </c>
      <c r="P31" s="3" t="str">
        <v/>
      </c>
      <c r="Q31" s="3" t="str">
        <v/>
      </c>
      <c r="R31" s="3">
        <v>29580</v>
      </c>
      <c r="S31" t="str">
        <v/>
      </c>
      <c r="T31" t="str">
        <v>N/A</v>
      </c>
      <c r="U31" s="1" t="str">
        <v/>
      </c>
      <c r="V31" t="str">
        <v/>
      </c>
      <c r="W31" t="str">
        <v/>
      </c>
      <c r="X31" t="str">
        <v/>
      </c>
      <c r="Y31" t="str">
        <v/>
      </c>
      <c r="Z31" t="str">
        <v>HeH Honduras</v>
      </c>
      <c r="AA31" t="str">
        <v>010 Sistema de Agua Potable San José</v>
      </c>
      <c r="AB31" s="3">
        <v>29580</v>
      </c>
      <c r="AC31" s="3">
        <v>0</v>
      </c>
      <c r="AD31" s="3">
        <v>0</v>
      </c>
      <c r="AE31" s="3">
        <v>0</v>
      </c>
      <c r="AF31" s="3">
        <v>0</v>
      </c>
      <c r="AG31" s="3">
        <v>29580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29580</v>
      </c>
      <c r="AN31" s="1" t="d">
        <v>2026-06-10T00:00:00.000Z</v>
      </c>
      <c r="AO31" t="str">
        <v>Contado</v>
      </c>
      <c r="AP31" t="str">
        <v>Revisada</v>
      </c>
      <c r="AQ31" t="str">
        <v/>
      </c>
      <c r="AR31" t="str">
        <v/>
      </c>
      <c r="AS31" s="1" t="str">
        <v/>
      </c>
      <c r="AT31" t="str">
        <v/>
      </c>
      <c r="AU31" t="str">
        <v/>
      </c>
      <c r="AV31" t="str">
        <v>EJEMPLO - backup buildreq-reset-movements-20260701-203055Z.sql - estado Revisada</v>
      </c>
      <c r="AW31" t="str">
        <v/>
      </c>
      <c r="AX31" t="str">
        <v>010 Sistema de Agua Potable San José</v>
      </c>
      <c r="AY31" t="str">
        <v>bodega_proyecto</v>
      </c>
      <c r="AZ31" t="str">
        <v>compra_directa</v>
      </c>
      <c r="BA31" t="str">
        <v>REQ-010-00000004</v>
      </c>
      <c r="BB31" t="str">
        <v>010</v>
      </c>
      <c r="BC31" t="str">
        <v/>
      </c>
      <c r="BD31" t="str">
        <v>SC-010-00000001</v>
      </c>
      <c r="BE31" t="str">
        <v>CD-010-00000001</v>
      </c>
      <c r="BF31" t="str">
        <v>Pendiente</v>
      </c>
      <c r="BG31" t="str">
        <v>FT-010-00000003</v>
      </c>
      <c r="BH31" t="str">
        <v>RE-010-00000003</v>
      </c>
    </row>
    <row r="32" ht="18" customHeight="1">
      <c r="A32" t="str">
        <v>FT-006-00000018</v>
      </c>
      <c r="B32" t="str">
        <v>006</v>
      </c>
      <c r="C32" t="str">
        <v>05019005478755</v>
      </c>
      <c r="D32" t="str">
        <v>SUPERTORNILLOS Y MAS SERVICIOS Y ACCESORIOS S DE RL</v>
      </c>
      <c r="E32" t="str">
        <v>Banco</v>
      </c>
      <c r="F32" t="str">
        <v>Factura</v>
      </c>
      <c r="G32" s="1" t="d">
        <v>2026-06-10T00:00:00.000Z</v>
      </c>
      <c r="H32" t="str">
        <v>000</v>
      </c>
      <c r="I32" t="str">
        <v>001</v>
      </c>
      <c r="J32" t="str">
        <v>01</v>
      </c>
      <c r="K32" t="str">
        <v>00282504</v>
      </c>
      <c r="L32" t="str">
        <v>02E35W-5E1FE2-F0SF35-E1F3ES-FF0EF1-S5</v>
      </c>
      <c r="M32" t="str">
        <v>TALLER MECANICA TRABAJOS VARIOS</v>
      </c>
      <c r="N32" s="2">
        <v>30</v>
      </c>
      <c r="O32" s="3">
        <v>3705</v>
      </c>
      <c r="P32" s="3" t="str">
        <v/>
      </c>
      <c r="Q32" s="3" t="str">
        <v/>
      </c>
      <c r="R32" s="3" t="str">
        <v/>
      </c>
      <c r="S32" t="str">
        <v/>
      </c>
      <c r="T32" t="str">
        <v>N/A</v>
      </c>
      <c r="U32" s="1" t="str">
        <v/>
      </c>
      <c r="V32" t="str">
        <v/>
      </c>
      <c r="W32" t="str">
        <v/>
      </c>
      <c r="X32" t="str">
        <v/>
      </c>
      <c r="Y32" t="str">
        <v/>
      </c>
      <c r="Z32" t="str">
        <v>HeH Honduras</v>
      </c>
      <c r="AA32" t="str">
        <v>006 Mantenimiento periódico</v>
      </c>
      <c r="AB32" s="3">
        <v>3705</v>
      </c>
      <c r="AC32" s="3">
        <v>555.75</v>
      </c>
      <c r="AD32" s="3">
        <v>0</v>
      </c>
      <c r="AE32" s="3">
        <v>0</v>
      </c>
      <c r="AF32" s="3">
        <v>555.75</v>
      </c>
      <c r="AG32" s="3">
        <v>4260.75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4260.75</v>
      </c>
      <c r="AN32" s="1" t="d">
        <v>2026-07-10T00:00:00.000Z</v>
      </c>
      <c r="AO32" t="str">
        <v>Crédito</v>
      </c>
      <c r="AP32" t="str">
        <v>Borrador</v>
      </c>
      <c r="AQ32" t="str">
        <v/>
      </c>
      <c r="AR32" t="str">
        <v/>
      </c>
      <c r="AS32" s="1" t="str">
        <v/>
      </c>
      <c r="AT32" t="str">
        <v/>
      </c>
      <c r="AU32" t="str">
        <v/>
      </c>
      <c r="AV32" t="str">
        <v>EJEMPLO - backup buildreq-reset-movements-20260701-203055Z.sql - estado Borrador</v>
      </c>
      <c r="AW32" t="str">
        <v/>
      </c>
      <c r="AX32" t="str">
        <v>006 Mantenimiento periódico</v>
      </c>
      <c r="AY32" t="str">
        <v>bodega_proyecto</v>
      </c>
      <c r="AZ32" t="str">
        <v>local</v>
      </c>
      <c r="BA32" t="str">
        <v>REQ-006-00000042</v>
      </c>
      <c r="BB32" t="str">
        <v>006</v>
      </c>
      <c r="BC32" t="str">
        <v/>
      </c>
      <c r="BD32" t="str">
        <v>SC-006-00000027</v>
      </c>
      <c r="BE32" t="str">
        <v>OC-006-00000019</v>
      </c>
      <c r="BF32" t="str">
        <v>Pendiente</v>
      </c>
      <c r="BG32" t="str">
        <v>FT-006-00000018</v>
      </c>
      <c r="BH32" t="str">
        <v>RE-006-00000021</v>
      </c>
    </row>
    <row r="33" ht="18" customHeight="1">
      <c r="A33" t="str">
        <v>FT-020-00000001</v>
      </c>
      <c r="B33" t="str">
        <v>020</v>
      </c>
      <c r="C33" t="str">
        <v>05019010301690</v>
      </c>
      <c r="D33" t="str">
        <v>ABCO HONDURAS SA DE CV</v>
      </c>
      <c r="E33" t="str">
        <v>Banco</v>
      </c>
      <c r="F33" t="str">
        <v>Factura</v>
      </c>
      <c r="G33" s="1" t="d">
        <v>2026-06-11T00:00:00.000Z</v>
      </c>
      <c r="H33" t="str">
        <v>111</v>
      </c>
      <c r="I33" t="str">
        <v>111</v>
      </c>
      <c r="J33" t="str">
        <v>11</v>
      </c>
      <c r="K33" t="str">
        <v>11111112</v>
      </c>
      <c r="L33" t="str">
        <v>111111-111111-111111-111111-111111-11</v>
      </c>
      <c r="M33" t="str">
        <v>CEMENTO GU EN SACO 42.5KG</v>
      </c>
      <c r="N33" s="2">
        <v>14</v>
      </c>
      <c r="O33" s="3" t="str">
        <v/>
      </c>
      <c r="P33" s="3" t="str">
        <v/>
      </c>
      <c r="Q33" s="3" t="str">
        <v/>
      </c>
      <c r="R33" s="3">
        <v>3000</v>
      </c>
      <c r="S33" t="str">
        <v/>
      </c>
      <c r="T33" t="str">
        <v>N/A</v>
      </c>
      <c r="U33" s="1" t="str">
        <v/>
      </c>
      <c r="V33" t="str">
        <v/>
      </c>
      <c r="W33" t="str">
        <v/>
      </c>
      <c r="X33" t="str">
        <v/>
      </c>
      <c r="Y33" t="str">
        <v/>
      </c>
      <c r="Z33" t="str">
        <v>HeH Honduras</v>
      </c>
      <c r="AA33" t="str">
        <v>020 San Fco. de Becerra - San Luis de Las Lajas</v>
      </c>
      <c r="AB33" s="3">
        <v>3000</v>
      </c>
      <c r="AC33" s="3">
        <v>0</v>
      </c>
      <c r="AD33" s="3">
        <v>0</v>
      </c>
      <c r="AE33" s="3">
        <v>0</v>
      </c>
      <c r="AF33" s="3">
        <v>0</v>
      </c>
      <c r="AG33" s="3">
        <v>3000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3000</v>
      </c>
      <c r="AN33" s="1" t="d">
        <v>2026-06-25T00:00:00.000Z</v>
      </c>
      <c r="AO33" t="str">
        <v>Crédito</v>
      </c>
      <c r="AP33" t="str">
        <v>Revisada</v>
      </c>
      <c r="AQ33" t="str">
        <v/>
      </c>
      <c r="AR33" t="str">
        <v/>
      </c>
      <c r="AS33" s="1" t="str">
        <v/>
      </c>
      <c r="AT33" t="str">
        <v/>
      </c>
      <c r="AU33" t="str">
        <v/>
      </c>
      <c r="AV33" t="str">
        <v>EJEMPLO - backup buildreq-reset-movements-20260701-203055Z.sql - estado Revisada</v>
      </c>
      <c r="AW33" t="str">
        <v/>
      </c>
      <c r="AX33" t="str">
        <v>020 San Fco. de Becerra - San Luis de Las Lajas</v>
      </c>
      <c r="AY33" t="str">
        <v>bodega_proyecto</v>
      </c>
      <c r="AZ33" t="str">
        <v>local</v>
      </c>
      <c r="BA33" t="str">
        <v>REQ-020-00000001</v>
      </c>
      <c r="BB33" t="str">
        <v>020</v>
      </c>
      <c r="BC33" t="str">
        <v/>
      </c>
      <c r="BD33" t="str">
        <v>SC-020-00000001</v>
      </c>
      <c r="BE33" t="str">
        <v>OC-020-00000001</v>
      </c>
      <c r="BF33" t="str">
        <v>Pendiente</v>
      </c>
      <c r="BG33" t="str">
        <v>FT-020-00000001</v>
      </c>
      <c r="BH33" t="str">
        <v>RE-020-00000001</v>
      </c>
    </row>
    <row r="34" ht="18" customHeight="1">
      <c r="A34" t="str">
        <v>FT-004-00000005</v>
      </c>
      <c r="B34" t="str">
        <v>004</v>
      </c>
      <c r="C34" t="str">
        <v>08019000235234</v>
      </c>
      <c r="D34" t="str">
        <v>LARACH Y CIA S DE RL DE CV</v>
      </c>
      <c r="E34" t="str">
        <v>Banco</v>
      </c>
      <c r="F34" t="str">
        <v>Factura</v>
      </c>
      <c r="G34" s="1" t="d">
        <v>2026-06-11T00:00:00.000Z</v>
      </c>
      <c r="H34" t="str">
        <v>000</v>
      </c>
      <c r="I34" t="str">
        <v>003</v>
      </c>
      <c r="J34" t="str">
        <v>01</v>
      </c>
      <c r="K34" t="str">
        <v>00397863</v>
      </c>
      <c r="L34" t="str">
        <v>52BC6B-923BCD-00CBE0-63BE03-090905-F4</v>
      </c>
      <c r="M34" t="str">
        <v>ACARREO DE MATERIAL SELECTO, ARENA, GRAVA Y AGREGADOS</v>
      </c>
      <c r="N34" s="2">
        <v>30</v>
      </c>
      <c r="O34" s="3" t="str">
        <v/>
      </c>
      <c r="P34" s="3" t="str">
        <v/>
      </c>
      <c r="Q34" s="3" t="str">
        <v/>
      </c>
      <c r="R34" s="3">
        <v>30000</v>
      </c>
      <c r="S34" t="str">
        <v/>
      </c>
      <c r="T34" t="str">
        <v>N/A</v>
      </c>
      <c r="U34" s="1" t="str">
        <v/>
      </c>
      <c r="V34" t="str">
        <v/>
      </c>
      <c r="W34" t="str">
        <v/>
      </c>
      <c r="X34" t="str">
        <v/>
      </c>
      <c r="Y34" t="str">
        <v/>
      </c>
      <c r="Z34" t="str">
        <v>HeH Honduras</v>
      </c>
      <c r="AA34" t="str">
        <v>004 Mantenimiento rutinario CA-5</v>
      </c>
      <c r="AB34" s="3">
        <v>30000</v>
      </c>
      <c r="AC34" s="3">
        <v>0</v>
      </c>
      <c r="AD34" s="3">
        <v>0</v>
      </c>
      <c r="AE34" s="3">
        <v>0</v>
      </c>
      <c r="AF34" s="3">
        <v>0</v>
      </c>
      <c r="AG34" s="3">
        <v>30000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30000</v>
      </c>
      <c r="AN34" s="1" t="d">
        <v>2026-07-11T00:00:00.000Z</v>
      </c>
      <c r="AO34" t="str">
        <v>Crédito</v>
      </c>
      <c r="AP34" t="str">
        <v>Registrada</v>
      </c>
      <c r="AQ34" t="str">
        <v/>
      </c>
      <c r="AR34" t="str">
        <v/>
      </c>
      <c r="AS34" s="1" t="str">
        <v/>
      </c>
      <c r="AT34" t="str">
        <v/>
      </c>
      <c r="AU34" t="str">
        <v/>
      </c>
      <c r="AV34" t="str">
        <v>EJEMPLO - backup buildreq-reset-movements-20260701-203055Z.sql - estado Registrada</v>
      </c>
      <c r="AW34" t="str">
        <v/>
      </c>
      <c r="AX34" t="str">
        <v>004 Mantenimiento rutinario CA-5</v>
      </c>
      <c r="AY34" t="str">
        <v>bodega_proyecto</v>
      </c>
      <c r="AZ34" t="str">
        <v>compra_directa</v>
      </c>
      <c r="BA34" t="str">
        <v>REQ-004-00000013</v>
      </c>
      <c r="BB34" t="str">
        <v>004</v>
      </c>
      <c r="BC34" t="str">
        <v/>
      </c>
      <c r="BD34" t="str">
        <v>SC-004-00000010</v>
      </c>
      <c r="BE34" t="str">
        <v>CD-004-00000007</v>
      </c>
      <c r="BF34" t="str">
        <v>Registrada</v>
      </c>
      <c r="BG34" t="str">
        <v>FT-004-00000005</v>
      </c>
      <c r="BH34" t="str">
        <v>RE-004-00000006</v>
      </c>
    </row>
    <row r="35" ht="18" customHeight="1">
      <c r="A35" t="str">
        <v>FT-004-00000006</v>
      </c>
      <c r="B35" t="str">
        <v>004</v>
      </c>
      <c r="C35" t="str">
        <v>03019003258145</v>
      </c>
      <c r="D35" t="str">
        <v>ARGOS HONDURAS SA DE CV</v>
      </c>
      <c r="E35" t="str">
        <v>Banco</v>
      </c>
      <c r="F35" t="str">
        <v>Factura</v>
      </c>
      <c r="G35" s="1" t="d">
        <v>2026-06-11T00:00:00.000Z</v>
      </c>
      <c r="H35" t="str">
        <v>000</v>
      </c>
      <c r="I35" t="str">
        <v>003</v>
      </c>
      <c r="J35" t="str">
        <v>01</v>
      </c>
      <c r="K35" t="str">
        <v>00397863</v>
      </c>
      <c r="L35" t="str">
        <v>52BC6B-923BCD-00CBE0-63BE03-090905-F4</v>
      </c>
      <c r="M35" t="str">
        <v>CEMENTO GU EN SACO 42.5KG / ACARREO DE MATERIAL SELECTO, ARENA, GRAVA Y AGREGADOS</v>
      </c>
      <c r="N35" s="2">
        <v>348</v>
      </c>
      <c r="O35" s="3">
        <v>57000</v>
      </c>
      <c r="P35" s="3" t="str">
        <v/>
      </c>
      <c r="Q35" s="3" t="str">
        <v/>
      </c>
      <c r="R35" s="3" t="str">
        <v/>
      </c>
      <c r="S35" t="str">
        <v/>
      </c>
      <c r="T35" t="str">
        <v>N/A</v>
      </c>
      <c r="U35" s="1" t="str">
        <v/>
      </c>
      <c r="V35" t="str">
        <v/>
      </c>
      <c r="W35" t="str">
        <v/>
      </c>
      <c r="X35" t="str">
        <v/>
      </c>
      <c r="Y35" t="str">
        <v/>
      </c>
      <c r="Z35" t="str">
        <v>HeH Honduras</v>
      </c>
      <c r="AA35" t="str">
        <v>004 Mantenimiento rutinario CA-5</v>
      </c>
      <c r="AB35" s="3">
        <v>57000</v>
      </c>
      <c r="AC35" s="3">
        <v>8550</v>
      </c>
      <c r="AD35" s="3">
        <v>0</v>
      </c>
      <c r="AE35" s="3">
        <v>0</v>
      </c>
      <c r="AF35" s="3">
        <v>8550</v>
      </c>
      <c r="AG35" s="3">
        <v>65550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65550</v>
      </c>
      <c r="AN35" s="1" t="d">
        <v>2027-05-25T00:00:00.000Z</v>
      </c>
      <c r="AO35" t="str">
        <v>Crédito</v>
      </c>
      <c r="AP35" t="str">
        <v>Registrada</v>
      </c>
      <c r="AQ35" t="str">
        <v/>
      </c>
      <c r="AR35" t="str">
        <v/>
      </c>
      <c r="AS35" s="1" t="str">
        <v/>
      </c>
      <c r="AT35" t="str">
        <v/>
      </c>
      <c r="AU35" t="str">
        <v/>
      </c>
      <c r="AV35" t="str">
        <v>EJEMPLO - backup buildreq-reset-movements-20260701-203055Z.sql - estado Registrada</v>
      </c>
      <c r="AW35" t="str">
        <v/>
      </c>
      <c r="AX35" t="str">
        <v>004 Mantenimiento rutinario CA-5</v>
      </c>
      <c r="AY35" t="str">
        <v>cerrada</v>
      </c>
      <c r="AZ35" t="str">
        <v>compra_directa</v>
      </c>
      <c r="BA35" t="str">
        <v>REQ-004-00000014</v>
      </c>
      <c r="BB35" t="str">
        <v>004</v>
      </c>
      <c r="BC35" t="str">
        <v/>
      </c>
      <c r="BD35" t="str">
        <v>SC-004-00000011</v>
      </c>
      <c r="BE35" t="str">
        <v>CD-004-00000008</v>
      </c>
      <c r="BF35" t="str">
        <v>Registrada</v>
      </c>
      <c r="BG35" t="str">
        <v>FT-004-00000006</v>
      </c>
      <c r="BH35" t="str">
        <v>RE-004-00000007</v>
      </c>
    </row>
    <row r="36" ht="18" customHeight="1">
      <c r="A36" t="str">
        <v>FT-017-00000002</v>
      </c>
      <c r="B36" t="str">
        <v>017</v>
      </c>
      <c r="C36" t="str">
        <v>05029002059059</v>
      </c>
      <c r="D36" t="str">
        <v>CEMENTOS DEL NORTE SA</v>
      </c>
      <c r="E36" t="str">
        <v>Banco</v>
      </c>
      <c r="F36" t="str">
        <v>Documento extranjero</v>
      </c>
      <c r="H36" t="str">
        <v>FHRFJH</v>
      </c>
      <c r="I36" t="str">
        <v/>
      </c>
      <c r="J36" t="str">
        <v/>
      </c>
      <c r="K36" t="str">
        <v/>
      </c>
      <c r="L36" t="str">
        <v>JFJT</v>
      </c>
      <c r="M36" t="str">
        <v>CEMENTO TIPO HE 8</v>
      </c>
      <c r="N36" s="2" t="str">
        <v/>
      </c>
      <c r="O36" s="3">
        <v>198700</v>
      </c>
      <c r="P36" s="3" t="str">
        <v/>
      </c>
      <c r="Q36" s="3" t="str">
        <v/>
      </c>
      <c r="R36" s="3" t="str">
        <v/>
      </c>
      <c r="S36" t="str">
        <v/>
      </c>
      <c r="T36" t="str">
        <v>N/A</v>
      </c>
      <c r="U36" s="1" t="str">
        <v/>
      </c>
      <c r="V36" t="str">
        <v/>
      </c>
      <c r="W36" t="str">
        <v/>
      </c>
      <c r="X36" t="str">
        <v/>
      </c>
      <c r="Y36" t="str">
        <v/>
      </c>
      <c r="Z36" t="str">
        <v>HeH Honduras</v>
      </c>
      <c r="AA36" t="str">
        <v>017 CA-4 Ocotepeque - El Portillo</v>
      </c>
      <c r="AB36" s="3">
        <v>198700</v>
      </c>
      <c r="AC36" s="3">
        <v>29805</v>
      </c>
      <c r="AD36" s="3">
        <v>0</v>
      </c>
      <c r="AE36" s="3">
        <v>0</v>
      </c>
      <c r="AF36" s="3">
        <v>29805</v>
      </c>
      <c r="AG36" s="3">
        <v>228505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228505</v>
      </c>
      <c r="AO36" t="str">
        <v>Contado</v>
      </c>
      <c r="AP36" t="str">
        <v>Borrador</v>
      </c>
      <c r="AQ36" t="str">
        <v/>
      </c>
      <c r="AR36" t="str">
        <v/>
      </c>
      <c r="AS36" s="1" t="str">
        <v/>
      </c>
      <c r="AT36" t="str">
        <v/>
      </c>
      <c r="AU36" t="str">
        <v/>
      </c>
      <c r="AV36" t="str">
        <v>EJEMPLO - backup buildreq-reset-movements-20260701-203055Z.sql - estado Borrador</v>
      </c>
      <c r="AW36" t="str">
        <v/>
      </c>
      <c r="AX36" t="str">
        <v>017 CA-4 Ocotepeque - El Portillo</v>
      </c>
      <c r="AY36" t="str">
        <v>bodega_proyecto</v>
      </c>
      <c r="AZ36" t="str">
        <v>compra_directa</v>
      </c>
      <c r="BA36" t="str">
        <v>REQ-017-00000006</v>
      </c>
      <c r="BB36" t="str">
        <v>017</v>
      </c>
      <c r="BC36" t="str">
        <v/>
      </c>
      <c r="BD36" t="str">
        <v>SC-017-00000004</v>
      </c>
      <c r="BE36" t="str">
        <v>CD-017-00000002</v>
      </c>
      <c r="BF36" t="str">
        <v/>
      </c>
      <c r="BG36" t="str">
        <v>FT-017-00000002</v>
      </c>
      <c r="BH36" t="str">
        <v>RE-017-00000002</v>
      </c>
    </row>
    <row r="37" ht="18" customHeight="1">
      <c r="A37" t="str">
        <v>FT-007-00000002</v>
      </c>
      <c r="B37" t="str">
        <v>007</v>
      </c>
      <c r="C37" t="str">
        <v>05019005461426</v>
      </c>
      <c r="D37" t="str">
        <v>AUTO REPUESTOS BIGOTE S DE RL DE CV</v>
      </c>
      <c r="E37" t="str">
        <v>Banco</v>
      </c>
      <c r="F37" t="str">
        <v>Factura</v>
      </c>
      <c r="G37" s="1" t="d">
        <v>2026-06-12T00:00:00.000Z</v>
      </c>
      <c r="H37" t="str">
        <v>000</v>
      </c>
      <c r="I37" t="str">
        <v>003</v>
      </c>
      <c r="J37" t="str">
        <v>01</v>
      </c>
      <c r="K37" t="str">
        <v>00397863</v>
      </c>
      <c r="L37" t="str">
        <v>52BC6B-923BCD-00CBE0-63BE03-090905-F4</v>
      </c>
      <c r="M37" t="str">
        <v>ACEITE 15W40 HD PLUS</v>
      </c>
      <c r="N37" s="2">
        <v>30</v>
      </c>
      <c r="O37" s="3">
        <v>36000</v>
      </c>
      <c r="P37" s="3" t="str">
        <v/>
      </c>
      <c r="Q37" s="3" t="str">
        <v/>
      </c>
      <c r="R37" s="3" t="str">
        <v/>
      </c>
      <c r="S37" t="str">
        <v/>
      </c>
      <c r="T37" t="str">
        <v>001-001-11-00000999</v>
      </c>
      <c r="U37" s="1" t="str">
        <v/>
      </c>
      <c r="V37" t="str">
        <v>SI</v>
      </c>
      <c r="W37" t="str">
        <v/>
      </c>
      <c r="X37" t="str">
        <v/>
      </c>
      <c r="Y37" t="str">
        <v>SI</v>
      </c>
      <c r="Z37" t="str">
        <v>HeH Honduras</v>
      </c>
      <c r="AA37" t="str">
        <v>007 Obras adicionales CA-5</v>
      </c>
      <c r="AB37" s="3">
        <v>36000</v>
      </c>
      <c r="AC37" s="3">
        <v>5400</v>
      </c>
      <c r="AD37" s="3">
        <v>0</v>
      </c>
      <c r="AE37" s="3">
        <v>0</v>
      </c>
      <c r="AF37" s="3">
        <v>5400</v>
      </c>
      <c r="AG37" s="3">
        <v>41400</v>
      </c>
      <c r="AH37" s="3">
        <v>360</v>
      </c>
      <c r="AI37" s="3">
        <v>0</v>
      </c>
      <c r="AJ37" s="3">
        <v>0</v>
      </c>
      <c r="AK37" s="3">
        <v>5400</v>
      </c>
      <c r="AL37" s="3">
        <v>5760</v>
      </c>
      <c r="AM37" s="3">
        <v>35640</v>
      </c>
      <c r="AN37" s="1" t="d">
        <v>2026-07-12T00:00:00.000Z</v>
      </c>
      <c r="AO37" t="str">
        <v>Crédito</v>
      </c>
      <c r="AP37" t="str">
        <v>Rechazada</v>
      </c>
      <c r="AQ37" t="str">
        <v/>
      </c>
      <c r="AR37" t="str">
        <v/>
      </c>
      <c r="AS37" s="1" t="str">
        <v/>
      </c>
      <c r="AT37" t="str">
        <v/>
      </c>
      <c r="AU37" t="str">
        <v/>
      </c>
      <c r="AV37" t="str">
        <v>EJEMPLO - backup buildreq-reset-movements-20260701-203055Z.sql - estado Rechazada</v>
      </c>
      <c r="AW37" t="str">
        <v/>
      </c>
      <c r="AX37" t="str">
        <v>007 Obras adicionales CA-5</v>
      </c>
      <c r="AY37" t="str">
        <v>bodega_proyecto</v>
      </c>
      <c r="AZ37" t="str">
        <v>compra_directa</v>
      </c>
      <c r="BA37" t="str">
        <v>REQ-007-00000003</v>
      </c>
      <c r="BB37" t="str">
        <v>007</v>
      </c>
      <c r="BC37" t="str">
        <v/>
      </c>
      <c r="BD37" t="str">
        <v>SC-007-00000002</v>
      </c>
      <c r="BE37" t="str">
        <v>OC-007-00000001</v>
      </c>
      <c r="BF37" t="str">
        <v>Pendiente</v>
      </c>
      <c r="BG37" t="str">
        <v>FT-007-00000002</v>
      </c>
      <c r="BH37" t="str">
        <v>RE-007-00000002</v>
      </c>
    </row>
    <row r="38" ht="18" customHeight="1">
      <c r="A38" t="str">
        <v>FT-017-00000004</v>
      </c>
      <c r="B38" t="str">
        <v>017</v>
      </c>
      <c r="C38" t="str">
        <v>05019995159167</v>
      </c>
      <c r="D38" t="str">
        <v>LAZARUS Y LAZARUS SA DE CV</v>
      </c>
      <c r="E38" t="str">
        <v>Banco</v>
      </c>
      <c r="F38" t="str">
        <v>Factura</v>
      </c>
      <c r="G38" s="1" t="d">
        <v>2026-06-12T00:00:00.000Z</v>
      </c>
      <c r="H38" t="str">
        <v>000</v>
      </c>
      <c r="I38" t="str">
        <v>001</v>
      </c>
      <c r="J38" t="str">
        <v>01</v>
      </c>
      <c r="K38" t="str">
        <v>00013489</v>
      </c>
      <c r="L38" t="str">
        <v>4C3474-B4DF9F-B2C7E0-63BE03-090988-88</v>
      </c>
      <c r="M38" t="str">
        <v>ADITIVO ADMIX DX2</v>
      </c>
      <c r="N38" s="2">
        <v>1</v>
      </c>
      <c r="O38" s="3">
        <v>30020</v>
      </c>
      <c r="P38" s="3" t="str">
        <v/>
      </c>
      <c r="Q38" s="3" t="str">
        <v/>
      </c>
      <c r="R38" s="3" t="str">
        <v/>
      </c>
      <c r="S38" t="str">
        <v/>
      </c>
      <c r="T38" t="str">
        <v>N/A</v>
      </c>
      <c r="U38" s="1" t="str">
        <v/>
      </c>
      <c r="V38" t="str">
        <v/>
      </c>
      <c r="W38" t="str">
        <v/>
      </c>
      <c r="X38" t="str">
        <v/>
      </c>
      <c r="Y38" t="str">
        <v/>
      </c>
      <c r="Z38" t="str">
        <v>HeH Honduras</v>
      </c>
      <c r="AA38" t="str">
        <v>017 CA-4 Ocotepeque - El Portillo</v>
      </c>
      <c r="AB38" s="3">
        <v>30020</v>
      </c>
      <c r="AC38" s="3">
        <v>4503</v>
      </c>
      <c r="AD38" s="3">
        <v>0</v>
      </c>
      <c r="AE38" s="3">
        <v>0</v>
      </c>
      <c r="AF38" s="3">
        <v>4503</v>
      </c>
      <c r="AG38" s="3">
        <v>34523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34523</v>
      </c>
      <c r="AN38" s="1" t="d">
        <v>2026-06-13T00:00:00.000Z</v>
      </c>
      <c r="AO38" t="str">
        <v>Crédito</v>
      </c>
      <c r="AP38" t="str">
        <v>Revisada</v>
      </c>
      <c r="AQ38" t="str">
        <v/>
      </c>
      <c r="AR38" t="str">
        <v/>
      </c>
      <c r="AS38" s="1" t="str">
        <v/>
      </c>
      <c r="AT38" t="str">
        <v/>
      </c>
      <c r="AU38" t="str">
        <v/>
      </c>
      <c r="AV38" t="str">
        <v>EJEMPLO - backup buildreq-reset-movements-20260701-203055Z.sql - estado Revisada</v>
      </c>
      <c r="AW38" t="str">
        <v/>
      </c>
      <c r="AX38" t="str">
        <v>017 CA-4 Ocotepeque - El Portillo</v>
      </c>
      <c r="AY38" t="str">
        <v>bodega_proyecto</v>
      </c>
      <c r="AZ38" t="str">
        <v>compra_directa</v>
      </c>
      <c r="BA38" t="str">
        <v>REQ-017-00000008</v>
      </c>
      <c r="BB38" t="str">
        <v>017</v>
      </c>
      <c r="BC38" t="str">
        <v/>
      </c>
      <c r="BD38" t="str">
        <v>SC-017-00000007</v>
      </c>
      <c r="BE38" t="str">
        <v>CD-017-00000004</v>
      </c>
      <c r="BF38" t="str">
        <v>Pendiente</v>
      </c>
      <c r="BG38" t="str">
        <v>FT-017-00000004</v>
      </c>
      <c r="BH38" t="str">
        <v>RE-017-00000004</v>
      </c>
    </row>
    <row r="39" ht="18" customHeight="1">
      <c r="A39" t="str">
        <v>FT-001-00000003</v>
      </c>
      <c r="B39" t="str">
        <v>001</v>
      </c>
      <c r="C39" t="str">
        <v>08019003252404</v>
      </c>
      <c r="D39" t="str">
        <v>PETROLEOS Y ENERGIA DE HONDURAS SA DE CV (PETRHOSA)</v>
      </c>
      <c r="E39" t="str">
        <v>Banco</v>
      </c>
      <c r="F39" t="str">
        <v>Factura</v>
      </c>
      <c r="G39" s="1" t="d">
        <v>2026-06-12T00:00:00.000Z</v>
      </c>
      <c r="H39" t="str">
        <v>000</v>
      </c>
      <c r="I39" t="str">
        <v>001</v>
      </c>
      <c r="J39" t="str">
        <v>01</v>
      </c>
      <c r="K39" t="str">
        <v>00636188</v>
      </c>
      <c r="L39" t="str">
        <v>5328EC-0924E5-7507E0-63BE03-090983-0B</v>
      </c>
      <c r="M39" t="str">
        <v>ACEITE HIDRAULICO AW 68 / ACEITE 15W40 HD PLUS</v>
      </c>
      <c r="N39" s="2">
        <v>45</v>
      </c>
      <c r="O39" s="3">
        <v>190540.97</v>
      </c>
      <c r="P39" s="3" t="str">
        <v/>
      </c>
      <c r="Q39" s="3" t="str">
        <v/>
      </c>
      <c r="R39" s="3" t="str">
        <v/>
      </c>
      <c r="S39" t="str">
        <v/>
      </c>
      <c r="T39" t="str">
        <v>N/A</v>
      </c>
      <c r="U39" s="1" t="str">
        <v/>
      </c>
      <c r="V39" t="str">
        <v/>
      </c>
      <c r="W39" t="str">
        <v/>
      </c>
      <c r="X39" t="str">
        <v/>
      </c>
      <c r="Y39" t="str">
        <v/>
      </c>
      <c r="Z39" t="str">
        <v>HeH Honduras</v>
      </c>
      <c r="AA39" t="str">
        <v>001 Oficina Central</v>
      </c>
      <c r="AB39" s="3">
        <v>190540.97</v>
      </c>
      <c r="AC39" s="3">
        <v>28581.14</v>
      </c>
      <c r="AD39" s="3">
        <v>0</v>
      </c>
      <c r="AE39" s="3">
        <v>0</v>
      </c>
      <c r="AF39" s="3">
        <v>28581.14</v>
      </c>
      <c r="AG39" s="3">
        <v>219122.11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219122.11</v>
      </c>
      <c r="AN39" s="1" t="d">
        <v>2026-07-27T00:00:00.000Z</v>
      </c>
      <c r="AO39" t="str">
        <v>Crédito</v>
      </c>
      <c r="AP39" t="str">
        <v>Borrador</v>
      </c>
      <c r="AQ39" t="str">
        <v/>
      </c>
      <c r="AR39" t="str">
        <v/>
      </c>
      <c r="AS39" s="1" t="str">
        <v/>
      </c>
      <c r="AT39" t="str">
        <v/>
      </c>
      <c r="AU39" t="str">
        <v/>
      </c>
      <c r="AV39" t="str">
        <v>EJEMPLO - backup buildreq-reset-movements-20260701-203055Z.sql - estado Borrador</v>
      </c>
      <c r="AW39" t="str">
        <v/>
      </c>
      <c r="AX39" t="str">
        <v>001 Oficina Central</v>
      </c>
      <c r="AY39" t="str">
        <v>bodega_proyecto</v>
      </c>
      <c r="AZ39" t="str">
        <v>local</v>
      </c>
      <c r="BA39" t="str">
        <v>REQ-001-00000011</v>
      </c>
      <c r="BB39" t="str">
        <v>001</v>
      </c>
      <c r="BC39" t="str">
        <v/>
      </c>
      <c r="BD39" t="str">
        <v>SC-001-00000003</v>
      </c>
      <c r="BE39" t="str">
        <v>OC-001-00000003</v>
      </c>
      <c r="BF39" t="str">
        <v>Pendiente</v>
      </c>
      <c r="BG39" t="str">
        <v>FT-001-00000003</v>
      </c>
      <c r="BH39" t="str">
        <v>RE-001-00000003</v>
      </c>
    </row>
    <row r="40" ht="18" customHeight="1">
      <c r="A40" t="str">
        <v>FT-017-00000003</v>
      </c>
      <c r="B40" t="str">
        <v>017</v>
      </c>
      <c r="C40" t="str">
        <v>08019003252404</v>
      </c>
      <c r="D40" t="str">
        <v>PETROLEOS Y ENERGIA DE HONDURAS SA DE CV (PETRHOSA)</v>
      </c>
      <c r="E40" t="str">
        <v>Banco</v>
      </c>
      <c r="F40" t="str">
        <v>Documento extranjero</v>
      </c>
      <c r="H40" t="str">
        <v>HGJHG</v>
      </c>
      <c r="I40" t="str">
        <v/>
      </c>
      <c r="J40" t="str">
        <v/>
      </c>
      <c r="K40" t="str">
        <v/>
      </c>
      <c r="L40" t="str">
        <v>HJJHJKHK</v>
      </c>
      <c r="M40" t="str">
        <v>DIESEL</v>
      </c>
      <c r="N40" s="2" t="str">
        <v/>
      </c>
      <c r="O40" s="3" t="str">
        <v/>
      </c>
      <c r="P40" s="3" t="str">
        <v/>
      </c>
      <c r="Q40" s="3" t="str">
        <v/>
      </c>
      <c r="R40" s="3">
        <v>1040000</v>
      </c>
      <c r="S40" t="str">
        <v/>
      </c>
      <c r="T40" t="str">
        <v>N/A</v>
      </c>
      <c r="U40" s="1" t="str">
        <v/>
      </c>
      <c r="V40" t="str">
        <v/>
      </c>
      <c r="W40" t="str">
        <v/>
      </c>
      <c r="X40" t="str">
        <v/>
      </c>
      <c r="Y40" t="str">
        <v/>
      </c>
      <c r="Z40" t="str">
        <v>HeH Honduras</v>
      </c>
      <c r="AA40" t="str">
        <v>017 CA-4 Ocotepeque - El Portillo</v>
      </c>
      <c r="AB40" s="3">
        <v>1040000</v>
      </c>
      <c r="AC40" s="3">
        <v>0</v>
      </c>
      <c r="AD40" s="3">
        <v>0</v>
      </c>
      <c r="AE40" s="3">
        <v>0</v>
      </c>
      <c r="AF40" s="3">
        <v>0</v>
      </c>
      <c r="AG40" s="3">
        <v>1040000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1040000</v>
      </c>
      <c r="AO40" t="str">
        <v>Contado</v>
      </c>
      <c r="AP40" t="str">
        <v>Revisada</v>
      </c>
      <c r="AQ40" t="str">
        <v/>
      </c>
      <c r="AR40" t="str">
        <v/>
      </c>
      <c r="AS40" s="1" t="str">
        <v/>
      </c>
      <c r="AT40" t="str">
        <v/>
      </c>
      <c r="AU40" t="str">
        <v/>
      </c>
      <c r="AV40" t="str">
        <v>EJEMPLO - backup buildreq-reset-movements-20260701-203055Z.sql - estado Revisada</v>
      </c>
      <c r="AW40" t="str">
        <v/>
      </c>
      <c r="AX40" t="str">
        <v>017 CA-4 Ocotepeque - El Portillo</v>
      </c>
      <c r="AY40" t="str">
        <v>bodega_proyecto</v>
      </c>
      <c r="AZ40" t="str">
        <v>compra_directa</v>
      </c>
      <c r="BA40" t="str">
        <v>REQ-017-00000007</v>
      </c>
      <c r="BB40" t="str">
        <v>017</v>
      </c>
      <c r="BC40" t="str">
        <v/>
      </c>
      <c r="BD40" t="str">
        <v>SC-017-00000006</v>
      </c>
      <c r="BE40" t="str">
        <v>CD-017-00000003</v>
      </c>
      <c r="BF40" t="str">
        <v/>
      </c>
      <c r="BG40" t="str">
        <v>FT-017-00000003</v>
      </c>
      <c r="BH40" t="str">
        <v>RE-017-00000003</v>
      </c>
    </row>
    <row r="41" ht="18" customHeight="1">
      <c r="A41" t="str">
        <v>FT-004-00000007</v>
      </c>
      <c r="B41" t="str">
        <v>004SP-26 ETAPA2106</v>
      </c>
      <c r="C41" t="str">
        <v>05019010301690</v>
      </c>
      <c r="D41" t="str">
        <v>ABCO HONDURAS SA DE CV</v>
      </c>
      <c r="E41" t="str">
        <v>Banco</v>
      </c>
      <c r="F41" t="str">
        <v>Factura</v>
      </c>
      <c r="G41" s="1" t="d">
        <v>2026-06-13T00:00:00.000Z</v>
      </c>
      <c r="H41" t="str">
        <v>000</v>
      </c>
      <c r="I41" t="str">
        <v>003</v>
      </c>
      <c r="J41" t="str">
        <v>01</v>
      </c>
      <c r="K41" t="str">
        <v>00397863</v>
      </c>
      <c r="L41" t="str">
        <v>52BC6B-923BCD-00CBE0-63BE03-090905-F4</v>
      </c>
      <c r="M41" t="str">
        <v>INGRESO DE CEMENTO A LAS 10:00</v>
      </c>
      <c r="N41" s="2">
        <v>30</v>
      </c>
      <c r="O41" s="3">
        <v>4000</v>
      </c>
      <c r="P41" s="3" t="str">
        <v/>
      </c>
      <c r="Q41" s="3" t="str">
        <v/>
      </c>
      <c r="R41" s="3" t="str">
        <v/>
      </c>
      <c r="S41" t="str">
        <v/>
      </c>
      <c r="T41" t="str">
        <v>N/A</v>
      </c>
      <c r="U41" s="1" t="str">
        <v/>
      </c>
      <c r="V41" t="str">
        <v/>
      </c>
      <c r="W41" t="str">
        <v/>
      </c>
      <c r="X41" t="str">
        <v/>
      </c>
      <c r="Y41" t="str">
        <v/>
      </c>
      <c r="Z41" t="str">
        <v>HeH Honduras</v>
      </c>
      <c r="AA41" t="str">
        <v>004 Mantenimiento rutinario CA-5</v>
      </c>
      <c r="AB41" s="3">
        <v>4000</v>
      </c>
      <c r="AC41" s="3">
        <v>600</v>
      </c>
      <c r="AD41" s="3">
        <v>0</v>
      </c>
      <c r="AE41" s="3">
        <v>0</v>
      </c>
      <c r="AF41" s="3">
        <v>600</v>
      </c>
      <c r="AG41" s="3">
        <v>4600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4600</v>
      </c>
      <c r="AN41" s="1" t="d">
        <v>2026-07-13T00:00:00.000Z</v>
      </c>
      <c r="AO41" t="str">
        <v>Crédito</v>
      </c>
      <c r="AP41" t="str">
        <v>Registrada</v>
      </c>
      <c r="AQ41" t="str">
        <v/>
      </c>
      <c r="AR41" t="str">
        <v/>
      </c>
      <c r="AS41" s="1" t="str">
        <v/>
      </c>
      <c r="AT41" t="str">
        <v/>
      </c>
      <c r="AU41" t="str">
        <v/>
      </c>
      <c r="AV41" t="str">
        <v>EJEMPLO - backup buildreq-reset-movements-20260701-203055Z.sql - estado Registrada</v>
      </c>
      <c r="AW41" t="str">
        <v/>
      </c>
      <c r="AX41" t="str">
        <v>004 Mantenimiento rutinario CA-5</v>
      </c>
      <c r="AY41" t="str">
        <v>cerrada</v>
      </c>
      <c r="AZ41" t="str">
        <v>compra_directa</v>
      </c>
      <c r="BA41" t="str">
        <v>REQ-004-00000015</v>
      </c>
      <c r="BB41" t="str">
        <v>004</v>
      </c>
      <c r="BC41" t="str">
        <v>004SP-26 ETAPA2106</v>
      </c>
      <c r="BD41" t="str">
        <v>SC-004-00000012</v>
      </c>
      <c r="BE41" t="str">
        <v>CD-004-00000009</v>
      </c>
      <c r="BF41" t="str">
        <v>Registrada</v>
      </c>
      <c r="BG41" t="str">
        <v>FT-004-00000007</v>
      </c>
      <c r="BH41" t="str">
        <v>RE-004-00000008</v>
      </c>
    </row>
    <row r="42" ht="18" customHeight="1">
      <c r="A42" t="str">
        <v>FT-020-00000002</v>
      </c>
      <c r="B42" t="str">
        <v>020</v>
      </c>
      <c r="C42" t="str">
        <v>08019003252404</v>
      </c>
      <c r="D42" t="str">
        <v>PETROLEOS Y ENERGIA DE HONDURAS SA DE CV (PETRHOSA)</v>
      </c>
      <c r="E42" t="str">
        <v>Banco</v>
      </c>
      <c r="F42" t="str">
        <v>Factura</v>
      </c>
      <c r="G42" s="1" t="d">
        <v>2026-06-13T00:00:00.000Z</v>
      </c>
      <c r="H42" t="str">
        <v>000</v>
      </c>
      <c r="I42" t="str">
        <v>001</v>
      </c>
      <c r="J42" t="str">
        <v>01</v>
      </c>
      <c r="K42" t="str">
        <v>00636340</v>
      </c>
      <c r="L42" t="str">
        <v>5328EC-0924E5-7507E0-63BE03-090983-0B</v>
      </c>
      <c r="M42" t="str">
        <v>DIESEL</v>
      </c>
      <c r="N42" s="2">
        <v>30</v>
      </c>
      <c r="O42" s="3" t="str">
        <v/>
      </c>
      <c r="P42" s="3" t="str">
        <v/>
      </c>
      <c r="Q42" s="3" t="str">
        <v/>
      </c>
      <c r="R42" s="3">
        <v>1044463.2</v>
      </c>
      <c r="S42" t="str">
        <v/>
      </c>
      <c r="T42" t="str">
        <v>N/A</v>
      </c>
      <c r="U42" s="1" t="str">
        <v/>
      </c>
      <c r="V42" t="str">
        <v/>
      </c>
      <c r="W42" t="str">
        <v/>
      </c>
      <c r="X42" t="str">
        <v/>
      </c>
      <c r="Y42" t="str">
        <v/>
      </c>
      <c r="Z42" t="str">
        <v>HeH Honduras</v>
      </c>
      <c r="AA42" t="str">
        <v>020 San Fco. de Becerra - San Luis de Las Lajas</v>
      </c>
      <c r="AB42" s="3">
        <v>1044463.2</v>
      </c>
      <c r="AC42" s="3">
        <v>0</v>
      </c>
      <c r="AD42" s="3">
        <v>0</v>
      </c>
      <c r="AE42" s="3">
        <v>0</v>
      </c>
      <c r="AF42" s="3">
        <v>0</v>
      </c>
      <c r="AG42" s="3">
        <v>1044463.2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1044463.2</v>
      </c>
      <c r="AN42" s="1" t="d">
        <v>2026-07-13T00:00:00.000Z</v>
      </c>
      <c r="AO42" t="str">
        <v>Crédito</v>
      </c>
      <c r="AP42" t="str">
        <v>Revisada</v>
      </c>
      <c r="AQ42" t="str">
        <v/>
      </c>
      <c r="AR42" t="str">
        <v/>
      </c>
      <c r="AS42" s="1" t="str">
        <v/>
      </c>
      <c r="AT42" t="str">
        <v/>
      </c>
      <c r="AU42" t="str">
        <v/>
      </c>
      <c r="AV42" t="str">
        <v>EJEMPLO - backup buildreq-reset-movements-20260701-203055Z.sql - estado Revisada</v>
      </c>
      <c r="AW42" t="str">
        <v/>
      </c>
      <c r="AX42" t="str">
        <v>020 San Fco. de Becerra - San Luis de Las Lajas</v>
      </c>
      <c r="AY42" t="str">
        <v>bodega_proyecto</v>
      </c>
      <c r="AZ42" t="str">
        <v>compra_directa</v>
      </c>
      <c r="BA42" t="str">
        <v>REQ-020-00000004</v>
      </c>
      <c r="BB42" t="str">
        <v>020</v>
      </c>
      <c r="BC42" t="str">
        <v/>
      </c>
      <c r="BD42" t="str">
        <v>SC-020-00000002</v>
      </c>
      <c r="BE42" t="str">
        <v>OC-020-00000003</v>
      </c>
      <c r="BF42" t="str">
        <v>Pendiente</v>
      </c>
      <c r="BG42" t="str">
        <v>FT-020-00000002</v>
      </c>
      <c r="BH42" t="str">
        <v>RE-020-00000002</v>
      </c>
    </row>
    <row r="43" ht="18" customHeight="1">
      <c r="A43" t="str">
        <v>FT-001-00000002</v>
      </c>
      <c r="B43" t="str">
        <v>001</v>
      </c>
      <c r="C43" t="str">
        <v>08019002261403</v>
      </c>
      <c r="D43" t="str">
        <v>CABLE COLOR SA DE CV</v>
      </c>
      <c r="E43" t="str">
        <v>Banco</v>
      </c>
      <c r="F43" t="str">
        <v>Factura</v>
      </c>
      <c r="G43" s="1" t="d">
        <v>2026-06-13T00:00:00.000Z</v>
      </c>
      <c r="H43" t="str">
        <v>000</v>
      </c>
      <c r="I43" t="str">
        <v>015</v>
      </c>
      <c r="J43" t="str">
        <v>01</v>
      </c>
      <c r="K43" t="str">
        <v>01994981</v>
      </c>
      <c r="L43" t="str">
        <v>444EAD-062DEA-095FE0-63BE03-0909E5-B2</v>
      </c>
      <c r="M43" t="str">
        <v>SERVICIOS DE INTERNET</v>
      </c>
      <c r="N43" s="2">
        <v>0</v>
      </c>
      <c r="O43" s="3">
        <v>1107.82</v>
      </c>
      <c r="P43" s="3" t="str">
        <v/>
      </c>
      <c r="Q43" s="3" t="str">
        <v/>
      </c>
      <c r="R43" s="3" t="str">
        <v/>
      </c>
      <c r="S43" t="str">
        <v/>
      </c>
      <c r="T43" t="str">
        <v>N/A</v>
      </c>
      <c r="U43" s="1" t="str">
        <v/>
      </c>
      <c r="V43" t="str">
        <v/>
      </c>
      <c r="W43" t="str">
        <v/>
      </c>
      <c r="X43" t="str">
        <v/>
      </c>
      <c r="Y43" t="str">
        <v/>
      </c>
      <c r="Z43" t="str">
        <v>HeH Honduras</v>
      </c>
      <c r="AA43" t="str">
        <v>001 Oficina Central</v>
      </c>
      <c r="AB43" s="3">
        <v>1107.82</v>
      </c>
      <c r="AC43" s="3">
        <v>166.17</v>
      </c>
      <c r="AD43" s="3">
        <v>0</v>
      </c>
      <c r="AE43" s="3">
        <v>0</v>
      </c>
      <c r="AF43" s="3">
        <v>166.17</v>
      </c>
      <c r="AG43" s="3">
        <v>1273.99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1273.99</v>
      </c>
      <c r="AN43" s="1" t="d">
        <v>2026-06-13T00:00:00.000Z</v>
      </c>
      <c r="AO43" t="str">
        <v>Contado</v>
      </c>
      <c r="AP43" t="str">
        <v>Revisada</v>
      </c>
      <c r="AQ43" t="str">
        <v/>
      </c>
      <c r="AR43" t="str">
        <v/>
      </c>
      <c r="AS43" s="1" t="str">
        <v/>
      </c>
      <c r="AT43" t="str">
        <v/>
      </c>
      <c r="AU43" t="str">
        <v/>
      </c>
      <c r="AV43" t="str">
        <v>EJEMPLO - backup buildreq-reset-movements-20260701-203055Z.sql - estado Revisada</v>
      </c>
      <c r="AW43" t="str">
        <v/>
      </c>
      <c r="AX43" t="str">
        <v>001 Oficina Central</v>
      </c>
      <c r="AY43" t="str">
        <v>bodega_proyecto</v>
      </c>
      <c r="AZ43" t="str">
        <v>compra_directa</v>
      </c>
      <c r="BA43" t="str">
        <v>REQ-001-00000006</v>
      </c>
      <c r="BB43" t="str">
        <v>001</v>
      </c>
      <c r="BC43" t="str">
        <v/>
      </c>
      <c r="BD43" t="str">
        <v>SC-001-00000002</v>
      </c>
      <c r="BE43" t="str">
        <v>CD-001-00000002</v>
      </c>
      <c r="BF43" t="str">
        <v>Pendiente</v>
      </c>
      <c r="BG43" t="str">
        <v>FT-001-00000002</v>
      </c>
      <c r="BH43" t="str">
        <v>RE-001-00000002</v>
      </c>
    </row>
    <row r="44" ht="18" customHeight="1">
      <c r="A44" t="str">
        <v>FT-004-00000008</v>
      </c>
      <c r="B44" t="str">
        <v>004SP-26 ETAPA2106</v>
      </c>
      <c r="C44" t="str">
        <v>08019001230212</v>
      </c>
      <c r="D44" t="str">
        <v>COMERCIAL FERRETERA S DE RL</v>
      </c>
      <c r="E44" t="str">
        <v>Banco</v>
      </c>
      <c r="F44" t="str">
        <v>Factura</v>
      </c>
      <c r="G44" s="1" t="d">
        <v>2026-06-14T00:00:00.000Z</v>
      </c>
      <c r="H44" t="str">
        <v>000</v>
      </c>
      <c r="I44" t="str">
        <v>000</v>
      </c>
      <c r="J44" t="str">
        <v>00</v>
      </c>
      <c r="K44" t="str">
        <v>00000000</v>
      </c>
      <c r="L44" t="str">
        <v>000000-000000-000000-000000-000000-00</v>
      </c>
      <c r="M44" t="str">
        <v>NINGUNA</v>
      </c>
      <c r="N44" s="2">
        <v>7</v>
      </c>
      <c r="O44" s="3">
        <v>139500</v>
      </c>
      <c r="P44" s="3" t="str">
        <v/>
      </c>
      <c r="Q44" s="3" t="str">
        <v/>
      </c>
      <c r="R44" s="3" t="str">
        <v/>
      </c>
      <c r="S44" t="str">
        <v/>
      </c>
      <c r="T44" t="str">
        <v>000-000-00-00000000</v>
      </c>
      <c r="U44" s="1" t="str">
        <v/>
      </c>
      <c r="V44" t="str">
        <v>SI</v>
      </c>
      <c r="W44" t="str">
        <v/>
      </c>
      <c r="X44" t="str">
        <v/>
      </c>
      <c r="Y44" t="str">
        <v>SI</v>
      </c>
      <c r="Z44" t="str">
        <v>HeH Honduras</v>
      </c>
      <c r="AA44" t="str">
        <v>004 Mantenimiento rutinario CA-5</v>
      </c>
      <c r="AB44" s="3">
        <v>139500</v>
      </c>
      <c r="AC44" s="3">
        <v>20925</v>
      </c>
      <c r="AD44" s="3">
        <v>0</v>
      </c>
      <c r="AE44" s="3">
        <v>0</v>
      </c>
      <c r="AF44" s="3">
        <v>20925</v>
      </c>
      <c r="AG44" s="3">
        <v>160425</v>
      </c>
      <c r="AH44" s="3">
        <v>1395</v>
      </c>
      <c r="AI44" s="3">
        <v>0</v>
      </c>
      <c r="AJ44" s="3">
        <v>0</v>
      </c>
      <c r="AK44" s="3">
        <v>20925</v>
      </c>
      <c r="AL44" s="3">
        <v>22320</v>
      </c>
      <c r="AM44" s="3">
        <v>138105</v>
      </c>
      <c r="AN44" s="1" t="d">
        <v>2026-06-21T00:00:00.000Z</v>
      </c>
      <c r="AO44" t="str">
        <v>Crédito</v>
      </c>
      <c r="AP44" t="str">
        <v>Revisada</v>
      </c>
      <c r="AQ44" t="str">
        <v/>
      </c>
      <c r="AR44" t="str">
        <v/>
      </c>
      <c r="AS44" s="1" t="str">
        <v/>
      </c>
      <c r="AT44" t="str">
        <v/>
      </c>
      <c r="AU44" t="str">
        <v/>
      </c>
      <c r="AV44" t="str">
        <v>EJEMPLO - backup buildreq-reset-movements-20260701-203055Z.sql - estado Revisada</v>
      </c>
      <c r="AW44" t="str">
        <v/>
      </c>
      <c r="AX44" t="str">
        <v>004 Mantenimiento rutinario CA-5</v>
      </c>
      <c r="AY44" t="str">
        <v>bodega_proyecto</v>
      </c>
      <c r="AZ44" t="str">
        <v>local</v>
      </c>
      <c r="BA44" t="str">
        <v>REQ-004-00000018</v>
      </c>
      <c r="BB44" t="str">
        <v>004</v>
      </c>
      <c r="BC44" t="str">
        <v>004SP-26 ETAPA2106</v>
      </c>
      <c r="BD44" t="str">
        <v>SC-004-00000014</v>
      </c>
      <c r="BE44" t="str">
        <v>CD-004-00000011</v>
      </c>
      <c r="BF44" t="str">
        <v>Pendiente</v>
      </c>
      <c r="BG44" t="str">
        <v>FT-004-00000008</v>
      </c>
      <c r="BH44" t="str">
        <v>RE-004-00000009</v>
      </c>
    </row>
    <row r="45" ht="18" customHeight="1">
      <c r="A45" t="str">
        <v>FT-004-00000009</v>
      </c>
      <c r="B45" t="str">
        <v>004SP-26 ETAPA2106</v>
      </c>
      <c r="C45" t="str">
        <v>05029002059059</v>
      </c>
      <c r="D45" t="str">
        <v>CEMENTOS DEL NORTE SA</v>
      </c>
      <c r="E45" t="str">
        <v>Banco</v>
      </c>
      <c r="F45" t="str">
        <v>Factura</v>
      </c>
      <c r="G45" s="1" t="d">
        <v>2026-06-14T00:00:00.000Z</v>
      </c>
      <c r="H45" t="str">
        <v>000</v>
      </c>
      <c r="I45" t="str">
        <v>000</v>
      </c>
      <c r="J45" t="str">
        <v>00</v>
      </c>
      <c r="K45" t="str">
        <v>00000000</v>
      </c>
      <c r="L45" t="str">
        <v>000000-000000-000000-000000-000000-00</v>
      </c>
      <c r="M45" t="str">
        <v>CEMENTO GU- GRANEL</v>
      </c>
      <c r="N45" s="2">
        <v>16</v>
      </c>
      <c r="O45" s="3" t="str">
        <v/>
      </c>
      <c r="P45" s="3" t="str">
        <v/>
      </c>
      <c r="Q45" s="3" t="str">
        <v/>
      </c>
      <c r="R45" s="3">
        <v>28000000</v>
      </c>
      <c r="S45" t="str">
        <v/>
      </c>
      <c r="T45" t="str">
        <v>000-000-00-00000000</v>
      </c>
      <c r="U45" s="1" t="str">
        <v/>
      </c>
      <c r="V45" t="str">
        <v>SI</v>
      </c>
      <c r="W45" t="str">
        <v/>
      </c>
      <c r="X45" t="str">
        <v/>
      </c>
      <c r="Y45" t="str">
        <v>SI</v>
      </c>
      <c r="Z45" t="str">
        <v>HeH Honduras</v>
      </c>
      <c r="AA45" t="str">
        <v>004 Mantenimiento rutinario CA-5</v>
      </c>
      <c r="AB45" s="3">
        <v>28000000</v>
      </c>
      <c r="AC45" s="3">
        <v>0</v>
      </c>
      <c r="AD45" s="3">
        <v>0</v>
      </c>
      <c r="AE45" s="3">
        <v>0</v>
      </c>
      <c r="AF45" s="3">
        <v>0</v>
      </c>
      <c r="AG45" s="3">
        <v>28000000</v>
      </c>
      <c r="AH45" s="3">
        <v>280000</v>
      </c>
      <c r="AI45" s="3">
        <v>0</v>
      </c>
      <c r="AJ45" s="3">
        <v>0</v>
      </c>
      <c r="AK45" s="3">
        <v>4200000</v>
      </c>
      <c r="AL45" s="3">
        <v>4480000</v>
      </c>
      <c r="AM45" s="3">
        <v>23520000</v>
      </c>
      <c r="AN45" s="1" t="d">
        <v>2026-06-30T00:00:00.000Z</v>
      </c>
      <c r="AO45" t="str">
        <v>Crédito</v>
      </c>
      <c r="AP45" t="str">
        <v>Revisada</v>
      </c>
      <c r="AQ45" t="str">
        <v/>
      </c>
      <c r="AR45" t="str">
        <v/>
      </c>
      <c r="AS45" s="1" t="str">
        <v/>
      </c>
      <c r="AT45" t="str">
        <v/>
      </c>
      <c r="AU45" t="str">
        <v/>
      </c>
      <c r="AV45" t="str">
        <v>EJEMPLO - backup buildreq-reset-movements-20260701-203055Z.sql - estado Revisada</v>
      </c>
      <c r="AW45" t="str">
        <v/>
      </c>
      <c r="AX45" t="str">
        <v>004 Mantenimiento rutinario CA-5</v>
      </c>
      <c r="AY45" t="str">
        <v>bodega_proyecto</v>
      </c>
      <c r="AZ45" t="str">
        <v>local</v>
      </c>
      <c r="BA45" t="str">
        <v>REQ-004-00000020</v>
      </c>
      <c r="BB45" t="str">
        <v>004</v>
      </c>
      <c r="BC45" t="str">
        <v>004SP-26 ETAPA2106</v>
      </c>
      <c r="BD45" t="str">
        <v>SC-004-00000018</v>
      </c>
      <c r="BE45" t="str">
        <v>OC-004-00000015</v>
      </c>
      <c r="BF45" t="str">
        <v>Pendiente</v>
      </c>
      <c r="BG45" t="str">
        <v>FT-004-00000009</v>
      </c>
      <c r="BH45" t="str">
        <v>RE-004-00000010</v>
      </c>
    </row>
    <row r="46" ht="18" customHeight="1">
      <c r="A46" t="str">
        <v>FT-006-00000007</v>
      </c>
      <c r="B46" t="str">
        <v>006</v>
      </c>
      <c r="C46" t="str">
        <v>05019999400238</v>
      </c>
      <c r="D46" t="str">
        <v>JETSTEREO SA DE CV</v>
      </c>
      <c r="E46" t="str">
        <v>Banco</v>
      </c>
      <c r="F46" t="str">
        <v>Factura</v>
      </c>
      <c r="G46" s="1" t="d">
        <v>2026-06-14T00:00:00.000Z</v>
      </c>
      <c r="H46" t="str">
        <v>111</v>
      </c>
      <c r="I46" t="str">
        <v>111</v>
      </c>
      <c r="J46" t="str">
        <v>11</v>
      </c>
      <c r="K46" t="str">
        <v>11111199</v>
      </c>
      <c r="L46" t="str">
        <v>111111-111111-111111-111111-111111-11</v>
      </c>
      <c r="M46" t="str">
        <v>COMPUTADORA DELL LAPTOP</v>
      </c>
      <c r="N46" s="2">
        <v>14</v>
      </c>
      <c r="O46" s="3">
        <v>250000</v>
      </c>
      <c r="P46" s="3" t="str">
        <v/>
      </c>
      <c r="Q46" s="3" t="str">
        <v/>
      </c>
      <c r="R46" s="3" t="str">
        <v/>
      </c>
      <c r="S46" t="str">
        <v/>
      </c>
      <c r="T46" t="str">
        <v>N/A</v>
      </c>
      <c r="U46" s="1" t="str">
        <v/>
      </c>
      <c r="V46" t="str">
        <v/>
      </c>
      <c r="W46" t="str">
        <v/>
      </c>
      <c r="X46" t="str">
        <v/>
      </c>
      <c r="Y46" t="str">
        <v/>
      </c>
      <c r="Z46" t="str">
        <v>HeH Honduras</v>
      </c>
      <c r="AA46" t="str">
        <v>006 Mantenimiento periódico</v>
      </c>
      <c r="AB46" s="3">
        <v>250000</v>
      </c>
      <c r="AC46" s="3">
        <v>37500</v>
      </c>
      <c r="AD46" s="3">
        <v>0</v>
      </c>
      <c r="AE46" s="3">
        <v>0</v>
      </c>
      <c r="AF46" s="3">
        <v>37500</v>
      </c>
      <c r="AG46" s="3">
        <v>287500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287500</v>
      </c>
      <c r="AN46" s="1" t="d">
        <v>2026-06-28T00:00:00.000Z</v>
      </c>
      <c r="AO46" t="str">
        <v>Crédito</v>
      </c>
      <c r="AP46" t="str">
        <v>Registrada</v>
      </c>
      <c r="AQ46" t="str">
        <v/>
      </c>
      <c r="AR46" t="str">
        <v/>
      </c>
      <c r="AS46" s="1" t="str">
        <v/>
      </c>
      <c r="AT46" t="str">
        <v/>
      </c>
      <c r="AU46" t="str">
        <v/>
      </c>
      <c r="AV46" t="str">
        <v>EJEMPLO - backup buildreq-reset-movements-20260701-203055Z.sql - estado Registrada</v>
      </c>
      <c r="AW46" t="str">
        <v/>
      </c>
      <c r="AX46" t="str">
        <v>006 Mantenimiento periódico</v>
      </c>
      <c r="AY46" t="str">
        <v>bodega_proyecto</v>
      </c>
      <c r="AZ46" t="str">
        <v>local</v>
      </c>
      <c r="BA46" t="str">
        <v>REQ-006-00000028</v>
      </c>
      <c r="BB46" t="str">
        <v>006</v>
      </c>
      <c r="BC46" t="str">
        <v/>
      </c>
      <c r="BD46" t="str">
        <v>SC-006-00000016</v>
      </c>
      <c r="BE46" t="str">
        <v>OC-006-00000007</v>
      </c>
      <c r="BF46" t="str">
        <v>Registrada</v>
      </c>
      <c r="BG46" t="str">
        <v>FT-006-00000007</v>
      </c>
      <c r="BH46" t="str">
        <v>RE-006-00000009</v>
      </c>
    </row>
    <row r="47" ht="18" customHeight="1">
      <c r="A47" t="str">
        <v>FT-006-00000008</v>
      </c>
      <c r="B47" t="str">
        <v>006</v>
      </c>
      <c r="C47" t="str">
        <v>05019999400238</v>
      </c>
      <c r="D47" t="str">
        <v>JETSTEREO SA DE CV</v>
      </c>
      <c r="E47" t="str">
        <v>Banco</v>
      </c>
      <c r="F47" t="str">
        <v>Factura</v>
      </c>
      <c r="G47" s="1" t="d">
        <v>2026-06-14T00:00:00.000Z</v>
      </c>
      <c r="H47" t="str">
        <v>111</v>
      </c>
      <c r="I47" t="str">
        <v>111</v>
      </c>
      <c r="J47" t="str">
        <v>11</v>
      </c>
      <c r="K47" t="str">
        <v>11111121</v>
      </c>
      <c r="L47" t="str">
        <v>111111-111111-111111-111111-111111-11</v>
      </c>
      <c r="M47" t="str">
        <v>MONITORES</v>
      </c>
      <c r="N47" s="2">
        <v>7</v>
      </c>
      <c r="O47" s="3" t="str">
        <v/>
      </c>
      <c r="P47" s="3" t="str">
        <v/>
      </c>
      <c r="Q47" s="3" t="str">
        <v/>
      </c>
      <c r="R47" s="3">
        <v>7500</v>
      </c>
      <c r="S47" t="str">
        <v/>
      </c>
      <c r="T47" t="str">
        <v>N/A</v>
      </c>
      <c r="U47" s="1" t="str">
        <v/>
      </c>
      <c r="V47" t="str">
        <v/>
      </c>
      <c r="W47" t="str">
        <v/>
      </c>
      <c r="X47" t="str">
        <v/>
      </c>
      <c r="Y47" t="str">
        <v/>
      </c>
      <c r="Z47" t="str">
        <v>HeH Honduras</v>
      </c>
      <c r="AA47" t="str">
        <v>006 Mantenimiento periódico</v>
      </c>
      <c r="AB47" s="3">
        <v>7500</v>
      </c>
      <c r="AC47" s="3">
        <v>0</v>
      </c>
      <c r="AD47" s="3">
        <v>0</v>
      </c>
      <c r="AE47" s="3">
        <v>0</v>
      </c>
      <c r="AF47" s="3">
        <v>0</v>
      </c>
      <c r="AG47" s="3">
        <v>7500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7500</v>
      </c>
      <c r="AN47" s="1" t="d">
        <v>2026-06-21T00:00:00.000Z</v>
      </c>
      <c r="AO47" t="str">
        <v>Crédito</v>
      </c>
      <c r="AP47" t="str">
        <v>Registrada</v>
      </c>
      <c r="AQ47" t="str">
        <v/>
      </c>
      <c r="AR47" t="str">
        <v/>
      </c>
      <c r="AS47" s="1" t="str">
        <v/>
      </c>
      <c r="AT47" t="str">
        <v/>
      </c>
      <c r="AU47" t="str">
        <v/>
      </c>
      <c r="AV47" t="str">
        <v>EJEMPLO - backup buildreq-reset-movements-20260701-203055Z.sql - estado Registrada</v>
      </c>
      <c r="AW47" t="str">
        <v/>
      </c>
      <c r="AX47" t="str">
        <v>006 Mantenimiento periódico</v>
      </c>
      <c r="AY47" t="str">
        <v>bodega_proyecto</v>
      </c>
      <c r="AZ47" t="str">
        <v>local</v>
      </c>
      <c r="BA47" t="str">
        <v>REQ-006-00000029</v>
      </c>
      <c r="BB47" t="str">
        <v>006</v>
      </c>
      <c r="BC47" t="str">
        <v/>
      </c>
      <c r="BD47" t="str">
        <v>SC-006-00000017</v>
      </c>
      <c r="BE47" t="str">
        <v>OC-006-00000008</v>
      </c>
      <c r="BF47" t="str">
        <v>Registrada</v>
      </c>
      <c r="BG47" t="str">
        <v>FT-006-00000008</v>
      </c>
      <c r="BH47" t="str">
        <v>RE-006-00000010</v>
      </c>
    </row>
    <row r="48" ht="18" customHeight="1">
      <c r="A48" t="str">
        <v>FT-004-00000010</v>
      </c>
      <c r="B48" t="str">
        <v>004SP-26 ETAPA2106</v>
      </c>
      <c r="C48" t="str">
        <v>05019010301690</v>
      </c>
      <c r="D48" t="str">
        <v>ABCO HONDURAS SA DE CV</v>
      </c>
      <c r="E48" t="str">
        <v>Banco</v>
      </c>
      <c r="F48" t="str">
        <v>Factura</v>
      </c>
      <c r="G48" s="1" t="d">
        <v>2026-06-14T00:00:00.000Z</v>
      </c>
      <c r="H48" t="str">
        <v>111</v>
      </c>
      <c r="I48" t="str">
        <v>111</v>
      </c>
      <c r="J48" t="str">
        <v>11</v>
      </c>
      <c r="K48" t="str">
        <v>11111122</v>
      </c>
      <c r="L48" t="str">
        <v>111111-111111-111111-111111-111111-11</v>
      </c>
      <c r="M48" t="str">
        <v>VOLQUETAS MAC / ACARREO DE MATERIAL SELECTO, ARENA, GRAVA Y AGREGADOS</v>
      </c>
      <c r="N48" s="2">
        <v>14</v>
      </c>
      <c r="O48" s="3">
        <v>3010000</v>
      </c>
      <c r="P48" s="3" t="str">
        <v/>
      </c>
      <c r="Q48" s="3" t="str">
        <v/>
      </c>
      <c r="R48" s="3" t="str">
        <v/>
      </c>
      <c r="S48" t="str">
        <v/>
      </c>
      <c r="T48" t="str">
        <v>111-111-11-11111111</v>
      </c>
      <c r="U48" s="1" t="str">
        <v/>
      </c>
      <c r="V48" t="str">
        <v>SI</v>
      </c>
      <c r="W48" t="str">
        <v/>
      </c>
      <c r="X48" t="str">
        <v/>
      </c>
      <c r="Y48" t="str">
        <v>SI</v>
      </c>
      <c r="Z48" t="str">
        <v>HeH Honduras</v>
      </c>
      <c r="AA48" t="str">
        <v>004 Mantenimiento rutinario CA-5</v>
      </c>
      <c r="AB48" s="3">
        <v>3010000</v>
      </c>
      <c r="AC48" s="3">
        <v>451500</v>
      </c>
      <c r="AD48" s="3">
        <v>0</v>
      </c>
      <c r="AE48" s="3">
        <v>0</v>
      </c>
      <c r="AF48" s="3">
        <v>451500</v>
      </c>
      <c r="AG48" s="3">
        <v>3461500</v>
      </c>
      <c r="AH48" s="3">
        <v>20100</v>
      </c>
      <c r="AI48" s="3">
        <v>0</v>
      </c>
      <c r="AJ48" s="3">
        <v>0</v>
      </c>
      <c r="AK48" s="3">
        <v>301500</v>
      </c>
      <c r="AL48" s="3">
        <v>321600</v>
      </c>
      <c r="AM48" s="3">
        <v>3139900</v>
      </c>
      <c r="AN48" s="1" t="d">
        <v>2026-06-28T00:00:00.000Z</v>
      </c>
      <c r="AO48" t="str">
        <v>Crédito</v>
      </c>
      <c r="AP48" t="str">
        <v>Registrada</v>
      </c>
      <c r="AQ48" t="str">
        <v/>
      </c>
      <c r="AR48" t="str">
        <v/>
      </c>
      <c r="AS48" s="1" t="str">
        <v/>
      </c>
      <c r="AT48" t="str">
        <v/>
      </c>
      <c r="AU48" t="str">
        <v/>
      </c>
      <c r="AV48" t="str">
        <v>EJEMPLO - backup buildreq-reset-movements-20260701-203055Z.sql - estado Registrada</v>
      </c>
      <c r="AW48" t="str">
        <v/>
      </c>
      <c r="AX48" t="str">
        <v>004 Mantenimiento rutinario CA-5</v>
      </c>
      <c r="AY48" t="str">
        <v>bodega_proyecto</v>
      </c>
      <c r="AZ48" t="str">
        <v>local</v>
      </c>
      <c r="BA48" t="str">
        <v>REQ-004-00000021</v>
      </c>
      <c r="BB48" t="str">
        <v>004</v>
      </c>
      <c r="BC48" t="str">
        <v>004SP-26 ETAPA2106</v>
      </c>
      <c r="BD48" t="str">
        <v>SC-004-00000019</v>
      </c>
      <c r="BE48" t="str">
        <v>OC-004-00000016</v>
      </c>
      <c r="BF48" t="str">
        <v>Registrada</v>
      </c>
      <c r="BG48" t="str">
        <v>FT-004-00000010</v>
      </c>
      <c r="BH48" t="str">
        <v>RE-004-00000011</v>
      </c>
    </row>
    <row r="49" ht="18" customHeight="1">
      <c r="A49" t="str">
        <v>FT-010-00000007</v>
      </c>
      <c r="B49" t="str">
        <v>010</v>
      </c>
      <c r="C49" t="str">
        <v>03019003258145</v>
      </c>
      <c r="D49" t="str">
        <v>ARGOS HONDURAS SA DE CV</v>
      </c>
      <c r="E49" t="str">
        <v>Banco</v>
      </c>
      <c r="F49" t="str">
        <v>Factura</v>
      </c>
      <c r="G49" s="1" t="d">
        <v>2026-06-14T00:00:00.000Z</v>
      </c>
      <c r="H49" t="str">
        <v>003</v>
      </c>
      <c r="I49" t="str">
        <v>001</v>
      </c>
      <c r="J49" t="str">
        <v>01</v>
      </c>
      <c r="K49" t="str">
        <v>00254843</v>
      </c>
      <c r="L49" t="str">
        <v>3D4864-731723-FE1DE0-63BE03-090966-FC</v>
      </c>
      <c r="M49" t="str">
        <v>CEMENTO GU- GRANEL</v>
      </c>
      <c r="N49" s="2">
        <v>90</v>
      </c>
      <c r="O49" s="3">
        <v>98801.81</v>
      </c>
      <c r="P49" s="3" t="str">
        <v/>
      </c>
      <c r="Q49" s="3" t="str">
        <v/>
      </c>
      <c r="R49" s="3">
        <v>100104.43</v>
      </c>
      <c r="S49" t="str">
        <v/>
      </c>
      <c r="T49" t="str">
        <v>N/A</v>
      </c>
      <c r="U49" s="1" t="str">
        <v/>
      </c>
      <c r="V49" t="str">
        <v/>
      </c>
      <c r="W49" t="str">
        <v/>
      </c>
      <c r="X49" t="str">
        <v/>
      </c>
      <c r="Y49" t="str">
        <v/>
      </c>
      <c r="Z49" t="str">
        <v>HeH Honduras</v>
      </c>
      <c r="AA49" t="str">
        <v>010 Sistema de Agua Potable San José</v>
      </c>
      <c r="AB49" s="3">
        <v>198906.24</v>
      </c>
      <c r="AC49" s="3">
        <v>14820.27</v>
      </c>
      <c r="AD49" s="3">
        <v>0</v>
      </c>
      <c r="AE49" s="3">
        <v>0</v>
      </c>
      <c r="AF49" s="3">
        <v>14820.27</v>
      </c>
      <c r="AG49" s="3">
        <v>213726.51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213726.51</v>
      </c>
      <c r="AN49" s="1" t="d">
        <v>2026-09-12T00:00:00.000Z</v>
      </c>
      <c r="AO49" t="str">
        <v>Crédito</v>
      </c>
      <c r="AP49" t="str">
        <v>Borrador</v>
      </c>
      <c r="AQ49" t="str">
        <v/>
      </c>
      <c r="AR49" t="str">
        <v/>
      </c>
      <c r="AS49" s="1" t="str">
        <v/>
      </c>
      <c r="AT49" t="str">
        <v/>
      </c>
      <c r="AU49" t="str">
        <v/>
      </c>
      <c r="AV49" t="str">
        <v>EJEMPLO - backup buildreq-reset-movements-20260701-203055Z.sql - estado Borrador</v>
      </c>
      <c r="AW49" t="str">
        <v/>
      </c>
      <c r="AX49" t="str">
        <v>010 Sistema de Agua Potable San José</v>
      </c>
      <c r="AY49" t="str">
        <v>bodega_proyecto</v>
      </c>
      <c r="AZ49" t="str">
        <v>compra_directa</v>
      </c>
      <c r="BA49" t="str">
        <v>REQ-010-00000023</v>
      </c>
      <c r="BB49" t="str">
        <v>010</v>
      </c>
      <c r="BC49" t="str">
        <v/>
      </c>
      <c r="BD49" t="str">
        <v>SC-010-00000011</v>
      </c>
      <c r="BE49" t="str">
        <v>CD-010-00000008</v>
      </c>
      <c r="BF49" t="str">
        <v>Pendiente</v>
      </c>
      <c r="BG49" t="str">
        <v>FT-010-00000007</v>
      </c>
      <c r="BH49" t="str">
        <v>RE-010-00000009</v>
      </c>
    </row>
    <row r="50" ht="18" customHeight="1">
      <c r="A50" t="str">
        <v>FT-017-00000005</v>
      </c>
      <c r="B50" t="str">
        <v>017</v>
      </c>
      <c r="C50" t="str">
        <v>05029002059059</v>
      </c>
      <c r="D50" t="str">
        <v>CEMENTOS DEL NORTE SA</v>
      </c>
      <c r="E50" t="str">
        <v>Banco</v>
      </c>
      <c r="F50" t="str">
        <v>Factura</v>
      </c>
      <c r="G50" s="1" t="d">
        <v>2026-06-15T00:00:00.000Z</v>
      </c>
      <c r="H50" t="str">
        <v>000</v>
      </c>
      <c r="I50" t="str">
        <v>001</v>
      </c>
      <c r="J50" t="str">
        <v>01</v>
      </c>
      <c r="K50" t="str">
        <v>00758183</v>
      </c>
      <c r="L50" t="str">
        <v>4D7CA2-2303DE-BB0EE0-63BE03-090952-8B</v>
      </c>
      <c r="M50" t="str">
        <v>CEMENTO TIPO HE 8</v>
      </c>
      <c r="N50" s="2">
        <v>62</v>
      </c>
      <c r="O50" s="3">
        <v>123265742.9</v>
      </c>
      <c r="P50" s="3" t="str">
        <v/>
      </c>
      <c r="Q50" s="3" t="str">
        <v/>
      </c>
      <c r="R50" s="3" t="str">
        <v/>
      </c>
      <c r="S50" t="str">
        <v/>
      </c>
      <c r="T50" t="str">
        <v>N/A</v>
      </c>
      <c r="U50" s="1" t="str">
        <v/>
      </c>
      <c r="V50" t="str">
        <v/>
      </c>
      <c r="W50" t="str">
        <v/>
      </c>
      <c r="X50" t="str">
        <v/>
      </c>
      <c r="Y50" t="str">
        <v/>
      </c>
      <c r="Z50" t="str">
        <v>HeH Honduras</v>
      </c>
      <c r="AA50" t="str">
        <v>017 CA-4 Ocotepeque - El Portillo</v>
      </c>
      <c r="AB50" s="3">
        <v>123265742.9</v>
      </c>
      <c r="AC50" s="3">
        <v>18489861.43</v>
      </c>
      <c r="AD50" s="3">
        <v>0</v>
      </c>
      <c r="AE50" s="3">
        <v>0</v>
      </c>
      <c r="AF50" s="3">
        <v>18489861.43</v>
      </c>
      <c r="AG50" s="3">
        <v>141755604.34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141755604.34</v>
      </c>
      <c r="AN50" s="1" t="d">
        <v>2026-08-16T00:00:00.000Z</v>
      </c>
      <c r="AO50" t="str">
        <v>Crédito</v>
      </c>
      <c r="AP50" t="str">
        <v>Borrador</v>
      </c>
      <c r="AQ50" t="str">
        <v/>
      </c>
      <c r="AR50" t="str">
        <v/>
      </c>
      <c r="AS50" s="1" t="str">
        <v/>
      </c>
      <c r="AT50" t="str">
        <v/>
      </c>
      <c r="AU50" t="str">
        <v/>
      </c>
      <c r="AV50" t="str">
        <v>EJEMPLO - backup buildreq-reset-movements-20260701-203055Z.sql - estado Borrador</v>
      </c>
      <c r="AW50" t="str">
        <v/>
      </c>
      <c r="AX50" t="str">
        <v>017 CA-4 Ocotepeque - El Portillo</v>
      </c>
      <c r="AY50" t="str">
        <v>cerrada</v>
      </c>
      <c r="AZ50" t="str">
        <v>compra_directa</v>
      </c>
      <c r="BA50" t="str">
        <v>REQ-017-00000014</v>
      </c>
      <c r="BB50" t="str">
        <v>017</v>
      </c>
      <c r="BC50" t="str">
        <v/>
      </c>
      <c r="BD50" t="str">
        <v>SC-017-00000012</v>
      </c>
      <c r="BE50" t="str">
        <v>OC-017-00000008</v>
      </c>
      <c r="BF50" t="str">
        <v>Pendiente</v>
      </c>
      <c r="BG50" t="str">
        <v>FT-017-00000005</v>
      </c>
      <c r="BH50" t="str">
        <v>RE-017-00000005</v>
      </c>
    </row>
    <row r="51" ht="18" customHeight="1">
      <c r="A51" t="str">
        <v>FT-004-00000018</v>
      </c>
      <c r="B51" t="str">
        <v>004</v>
      </c>
      <c r="C51" t="str">
        <v>05019004006321</v>
      </c>
      <c r="D51" t="str">
        <v>SACOS AMERICANOS SA DE CV</v>
      </c>
      <c r="E51" t="str">
        <v>Banco</v>
      </c>
      <c r="F51" t="str">
        <v>Factura</v>
      </c>
      <c r="G51" s="1" t="d">
        <v>2026-06-15T00:00:00.000Z</v>
      </c>
      <c r="H51" t="str">
        <v>000</v>
      </c>
      <c r="I51" t="str">
        <v>002</v>
      </c>
      <c r="J51" t="str">
        <v>01</v>
      </c>
      <c r="K51" t="str">
        <v>00031604</v>
      </c>
      <c r="L51" t="str">
        <v>51H65E-1GRG13-1G6W5F-1E2F0E-5F1SF1-SF</v>
      </c>
      <c r="M51" t="str">
        <v>LIMPIEZA DE CARRETERA CA-5</v>
      </c>
      <c r="N51" s="2">
        <v>34</v>
      </c>
      <c r="O51" s="3">
        <v>71000</v>
      </c>
      <c r="P51" s="3" t="str">
        <v/>
      </c>
      <c r="Q51" s="3" t="str">
        <v/>
      </c>
      <c r="R51" s="3" t="str">
        <v/>
      </c>
      <c r="S51" t="str">
        <v/>
      </c>
      <c r="T51" t="str">
        <v>N/A</v>
      </c>
      <c r="U51" s="1" t="str">
        <v/>
      </c>
      <c r="V51" t="str">
        <v/>
      </c>
      <c r="W51" t="str">
        <v/>
      </c>
      <c r="X51" t="str">
        <v/>
      </c>
      <c r="Y51" t="str">
        <v/>
      </c>
      <c r="Z51" t="str">
        <v>HeH Honduras</v>
      </c>
      <c r="AA51" t="str">
        <v>004 Mantenimiento rutinario CA-5</v>
      </c>
      <c r="AB51" s="3">
        <v>71000</v>
      </c>
      <c r="AC51" s="3">
        <v>10650</v>
      </c>
      <c r="AD51" s="3">
        <v>0</v>
      </c>
      <c r="AE51" s="3">
        <v>0</v>
      </c>
      <c r="AF51" s="3">
        <v>10650</v>
      </c>
      <c r="AG51" s="3">
        <v>81650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81650</v>
      </c>
      <c r="AN51" s="1" t="d">
        <v>2026-07-19T00:00:00.000Z</v>
      </c>
      <c r="AO51" t="str">
        <v>Crédito</v>
      </c>
      <c r="AP51" t="str">
        <v>Borrador</v>
      </c>
      <c r="AQ51" t="str">
        <v/>
      </c>
      <c r="AR51" t="str">
        <v/>
      </c>
      <c r="AS51" s="1" t="str">
        <v/>
      </c>
      <c r="AT51" t="str">
        <v/>
      </c>
      <c r="AU51" t="str">
        <v/>
      </c>
      <c r="AV51" t="str">
        <v>EJEMPLO - backup buildreq-reset-movements-20260701-203055Z.sql - estado Borrador</v>
      </c>
      <c r="AW51" t="str">
        <v/>
      </c>
      <c r="AX51" t="str">
        <v>004 Mantenimiento rutinario CA-5</v>
      </c>
      <c r="AY51" t="str">
        <v>bodega_proyecto</v>
      </c>
      <c r="AZ51" t="str">
        <v>local</v>
      </c>
      <c r="BA51" t="str">
        <v>REQ-004-00000034</v>
      </c>
      <c r="BB51" t="str">
        <v>004</v>
      </c>
      <c r="BC51" t="str">
        <v/>
      </c>
      <c r="BD51" t="str">
        <v>SC-004-00000025</v>
      </c>
      <c r="BE51" t="str">
        <v>OC-004-00000024</v>
      </c>
      <c r="BF51" t="str">
        <v>Pendiente</v>
      </c>
      <c r="BG51" t="str">
        <v>FT-004-00000018</v>
      </c>
      <c r="BH51" t="str">
        <v>RE-004-00000025</v>
      </c>
    </row>
    <row r="52" ht="18" customHeight="1">
      <c r="A52" t="str">
        <v>FT-010-00000006</v>
      </c>
      <c r="B52" t="str">
        <v>010</v>
      </c>
      <c r="C52" t="str">
        <v>03019003258145</v>
      </c>
      <c r="D52" t="str">
        <v>ARGOS HONDURAS SA DE CV</v>
      </c>
      <c r="E52" t="str">
        <v>Banco</v>
      </c>
      <c r="F52" t="str">
        <v>Factura</v>
      </c>
      <c r="G52" s="1" t="d">
        <v>2026-06-15T00:00:00.000Z</v>
      </c>
      <c r="H52" t="str">
        <v>003</v>
      </c>
      <c r="I52" t="str">
        <v>001</v>
      </c>
      <c r="J52" t="str">
        <v>01</v>
      </c>
      <c r="K52" t="str">
        <v>00254899</v>
      </c>
      <c r="L52" t="str">
        <v>3D4864-731723-FE1DE0-63BE03-090966-FC</v>
      </c>
      <c r="M52" t="str">
        <v>CEMENTO GU- GRANEL</v>
      </c>
      <c r="N52" s="2">
        <v>90</v>
      </c>
      <c r="O52" s="3">
        <v>199792.05</v>
      </c>
      <c r="P52" s="3" t="str">
        <v/>
      </c>
      <c r="Q52" s="3" t="str">
        <v/>
      </c>
      <c r="R52" s="3" t="str">
        <v/>
      </c>
      <c r="S52" t="str">
        <v/>
      </c>
      <c r="T52" t="str">
        <v>N/A</v>
      </c>
      <c r="U52" s="1" t="str">
        <v/>
      </c>
      <c r="V52" t="str">
        <v/>
      </c>
      <c r="W52" t="str">
        <v/>
      </c>
      <c r="X52" t="str">
        <v/>
      </c>
      <c r="Y52" t="str">
        <v/>
      </c>
      <c r="Z52" t="str">
        <v>HeH Honduras</v>
      </c>
      <c r="AA52" t="str">
        <v>010 Sistema de Agua Potable San José</v>
      </c>
      <c r="AB52" s="3">
        <v>199792.05</v>
      </c>
      <c r="AC52" s="3">
        <v>29968.81</v>
      </c>
      <c r="AD52" s="3">
        <v>0</v>
      </c>
      <c r="AE52" s="3">
        <v>0</v>
      </c>
      <c r="AF52" s="3">
        <v>29968.81</v>
      </c>
      <c r="AG52" s="3">
        <v>229760.86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229760.86</v>
      </c>
      <c r="AN52" s="1" t="d">
        <v>2026-09-13T00:00:00.000Z</v>
      </c>
      <c r="AO52" t="str">
        <v>Crédito</v>
      </c>
      <c r="AP52" t="str">
        <v>Borrador</v>
      </c>
      <c r="AQ52" t="str">
        <v/>
      </c>
      <c r="AR52" t="str">
        <v/>
      </c>
      <c r="AS52" s="1" t="str">
        <v/>
      </c>
      <c r="AT52" t="str">
        <v/>
      </c>
      <c r="AU52" t="str">
        <v/>
      </c>
      <c r="AV52" t="str">
        <v>EJEMPLO - backup buildreq-reset-movements-20260701-203055Z.sql - estado Borrador</v>
      </c>
      <c r="AW52" t="str">
        <v/>
      </c>
      <c r="AX52" t="str">
        <v>010 Sistema de Agua Potable San José</v>
      </c>
      <c r="AY52" t="str">
        <v>bodega_proyecto</v>
      </c>
      <c r="AZ52" t="str">
        <v>compra_directa</v>
      </c>
      <c r="BA52" t="str">
        <v>REQ-010-00000023</v>
      </c>
      <c r="BB52" t="str">
        <v>010</v>
      </c>
      <c r="BC52" t="str">
        <v/>
      </c>
      <c r="BD52" t="str">
        <v>SC-010-00000011</v>
      </c>
      <c r="BE52" t="str">
        <v>CD-010-00000008</v>
      </c>
      <c r="BF52" t="str">
        <v>Pendiente</v>
      </c>
      <c r="BG52" t="str">
        <v>FT-010-00000006</v>
      </c>
      <c r="BH52" t="str">
        <v>RE-010-00000008</v>
      </c>
    </row>
    <row r="53" ht="18" customHeight="1">
      <c r="A53" t="str">
        <v>FT-010-00000008</v>
      </c>
      <c r="B53" t="str">
        <v>010</v>
      </c>
      <c r="C53" t="str">
        <v>05019021272375</v>
      </c>
      <c r="D53" t="str">
        <v>DISTRIBUIDORA PLATINO SA DE CV</v>
      </c>
      <c r="E53" t="str">
        <v>Banco</v>
      </c>
      <c r="F53" t="str">
        <v>Factura</v>
      </c>
      <c r="G53" s="1" t="d">
        <v>2026-06-15T00:00:00.000Z</v>
      </c>
      <c r="H53" t="str">
        <v>001</v>
      </c>
      <c r="I53" t="str">
        <v>001</v>
      </c>
      <c r="J53" t="str">
        <v>01</v>
      </c>
      <c r="K53" t="str">
        <v>00002369</v>
      </c>
      <c r="L53" t="str">
        <v>46A0FB-3C29B3-74DEE0-63BE03-090964-E0</v>
      </c>
      <c r="M53" t="str">
        <v>TAPON PARA TANQUE DE COMBUSTIBLE</v>
      </c>
      <c r="N53" s="2">
        <v>30</v>
      </c>
      <c r="O53" s="3">
        <v>1310.14</v>
      </c>
      <c r="P53" s="3" t="str">
        <v/>
      </c>
      <c r="Q53" s="3" t="str">
        <v/>
      </c>
      <c r="R53" s="3" t="str">
        <v/>
      </c>
      <c r="S53" t="str">
        <v/>
      </c>
      <c r="T53" t="str">
        <v>N/A</v>
      </c>
      <c r="U53" s="1" t="str">
        <v/>
      </c>
      <c r="V53" t="str">
        <v/>
      </c>
      <c r="W53" t="str">
        <v/>
      </c>
      <c r="X53" t="str">
        <v/>
      </c>
      <c r="Y53" t="str">
        <v/>
      </c>
      <c r="Z53" t="str">
        <v>HeH Honduras</v>
      </c>
      <c r="AA53" t="str">
        <v>010 Sistema de Agua Potable San José</v>
      </c>
      <c r="AB53" s="3">
        <v>1310.14</v>
      </c>
      <c r="AC53" s="3">
        <v>196.52</v>
      </c>
      <c r="AD53" s="3">
        <v>0</v>
      </c>
      <c r="AE53" s="3">
        <v>0</v>
      </c>
      <c r="AF53" s="3">
        <v>196.52</v>
      </c>
      <c r="AG53" s="3">
        <v>1506.66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1506.66</v>
      </c>
      <c r="AN53" s="1" t="d">
        <v>2026-07-15T00:00:00.000Z</v>
      </c>
      <c r="AO53" t="str">
        <v>Crédito</v>
      </c>
      <c r="AP53" t="str">
        <v>Borrador</v>
      </c>
      <c r="AQ53" t="str">
        <v/>
      </c>
      <c r="AR53" t="str">
        <v/>
      </c>
      <c r="AS53" s="1" t="str">
        <v/>
      </c>
      <c r="AT53" t="str">
        <v/>
      </c>
      <c r="AU53" t="str">
        <v/>
      </c>
      <c r="AV53" t="str">
        <v>EJEMPLO - backup buildreq-reset-movements-20260701-203055Z.sql - estado Borrador</v>
      </c>
      <c r="AW53" t="str">
        <v/>
      </c>
      <c r="AX53" t="str">
        <v>010 Sistema de Agua Potable San José</v>
      </c>
      <c r="AY53" t="str">
        <v>bodega_proyecto</v>
      </c>
      <c r="AZ53" t="str">
        <v>compra_directa</v>
      </c>
      <c r="BA53" t="str">
        <v>REQ-010-00000025</v>
      </c>
      <c r="BB53" t="str">
        <v>010</v>
      </c>
      <c r="BC53" t="str">
        <v/>
      </c>
      <c r="BD53" t="str">
        <v>SC-010-00000012</v>
      </c>
      <c r="BE53" t="str">
        <v>CD-010-00000007</v>
      </c>
      <c r="BF53" t="str">
        <v>Pendiente</v>
      </c>
      <c r="BG53" t="str">
        <v>FT-010-00000008</v>
      </c>
      <c r="BH53" t="str">
        <v>RE-010-00000010</v>
      </c>
    </row>
    <row r="54" ht="18" customHeight="1">
      <c r="A54" t="str">
        <v>FT-010-00000009</v>
      </c>
      <c r="B54" t="str">
        <v>010</v>
      </c>
      <c r="C54" t="str">
        <v>08019002268287</v>
      </c>
      <c r="D54" t="str">
        <v>CENTRAL DE MANGUERAS SA CEMASA</v>
      </c>
      <c r="E54" t="str">
        <v>Banco</v>
      </c>
      <c r="F54" t="str">
        <v>Factura</v>
      </c>
      <c r="G54" s="1" t="d">
        <v>2026-06-15T00:00:00.000Z</v>
      </c>
      <c r="H54" t="str">
        <v>000</v>
      </c>
      <c r="I54" t="str">
        <v>001</v>
      </c>
      <c r="J54" t="str">
        <v>01</v>
      </c>
      <c r="K54" t="str">
        <v>00253502</v>
      </c>
      <c r="L54" t="str">
        <v>43E37E-443ACD-7DBCE0-63BE03-090900-E6</v>
      </c>
      <c r="M54" t="str">
        <v>RODAMIENTO</v>
      </c>
      <c r="N54" s="2">
        <v>30</v>
      </c>
      <c r="O54" s="3">
        <v>613</v>
      </c>
      <c r="P54" s="3" t="str">
        <v/>
      </c>
      <c r="Q54" s="3" t="str">
        <v/>
      </c>
      <c r="R54" s="3" t="str">
        <v/>
      </c>
      <c r="S54" t="str">
        <v/>
      </c>
      <c r="T54" t="str">
        <v>N/A</v>
      </c>
      <c r="U54" s="1" t="str">
        <v/>
      </c>
      <c r="V54" t="str">
        <v/>
      </c>
      <c r="W54" t="str">
        <v/>
      </c>
      <c r="X54" t="str">
        <v/>
      </c>
      <c r="Y54" t="str">
        <v/>
      </c>
      <c r="Z54" t="str">
        <v>HeH Honduras</v>
      </c>
      <c r="AA54" t="str">
        <v>010 Sistema de Agua Potable San José</v>
      </c>
      <c r="AB54" s="3">
        <v>613</v>
      </c>
      <c r="AC54" s="3">
        <v>91.95</v>
      </c>
      <c r="AD54" s="3">
        <v>0</v>
      </c>
      <c r="AE54" s="3">
        <v>0</v>
      </c>
      <c r="AF54" s="3">
        <v>91.95</v>
      </c>
      <c r="AG54" s="3">
        <v>704.95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704.95</v>
      </c>
      <c r="AN54" s="1" t="d">
        <v>2026-07-15T00:00:00.000Z</v>
      </c>
      <c r="AO54" t="str">
        <v>Crédito</v>
      </c>
      <c r="AP54" t="str">
        <v>Borrador</v>
      </c>
      <c r="AQ54" t="str">
        <v/>
      </c>
      <c r="AR54" t="str">
        <v/>
      </c>
      <c r="AS54" s="1" t="str">
        <v/>
      </c>
      <c r="AT54" t="str">
        <v/>
      </c>
      <c r="AU54" t="str">
        <v/>
      </c>
      <c r="AV54" t="str">
        <v>EJEMPLO - backup buildreq-reset-movements-20260701-203055Z.sql - estado Borrador</v>
      </c>
      <c r="AW54" t="str">
        <v/>
      </c>
      <c r="AX54" t="str">
        <v>010 Sistema de Agua Potable San José</v>
      </c>
      <c r="AY54" t="str">
        <v>bodega_proyecto</v>
      </c>
      <c r="AZ54" t="str">
        <v>compra_directa</v>
      </c>
      <c r="BA54" t="str">
        <v>REQ-010-00000026</v>
      </c>
      <c r="BB54" t="str">
        <v>010</v>
      </c>
      <c r="BC54" t="str">
        <v/>
      </c>
      <c r="BD54" t="str">
        <v>SC-010-00000013</v>
      </c>
      <c r="BE54" t="str">
        <v>CD-010-00000006</v>
      </c>
      <c r="BF54" t="str">
        <v>Pendiente</v>
      </c>
      <c r="BG54" t="str">
        <v>FT-010-00000009</v>
      </c>
      <c r="BH54" t="str">
        <v>RE-010-00000011</v>
      </c>
    </row>
    <row r="55" ht="18" customHeight="1">
      <c r="A55" t="str">
        <v>FT-018-00000001</v>
      </c>
      <c r="B55" t="str">
        <v>018</v>
      </c>
      <c r="C55" t="str">
        <v>08019003252404</v>
      </c>
      <c r="D55" t="str">
        <v>PETROLEOS Y ENERGIA DE HONDURAS SA DE CV (PETRHOSA)</v>
      </c>
      <c r="E55" t="str">
        <v>Banco</v>
      </c>
      <c r="F55" t="str">
        <v>Factura</v>
      </c>
      <c r="G55" s="1" t="d">
        <v>2026-06-16T00:00:00.000Z</v>
      </c>
      <c r="H55" t="str">
        <v>000</v>
      </c>
      <c r="I55" t="str">
        <v>001</v>
      </c>
      <c r="J55" t="str">
        <v>01</v>
      </c>
      <c r="K55" t="str">
        <v>00636341</v>
      </c>
      <c r="L55" t="str">
        <v>5328EC-0924E5-7507E0-63BE03-090983-0B</v>
      </c>
      <c r="M55" t="str">
        <v>DIESEL</v>
      </c>
      <c r="N55" s="2">
        <v>30</v>
      </c>
      <c r="O55" s="3" t="str">
        <v/>
      </c>
      <c r="P55" s="3" t="str">
        <v/>
      </c>
      <c r="Q55" s="3" t="str">
        <v/>
      </c>
      <c r="R55" s="3">
        <v>1025440</v>
      </c>
      <c r="S55" t="str">
        <v/>
      </c>
      <c r="T55" t="str">
        <v>N/A</v>
      </c>
      <c r="U55" s="1" t="str">
        <v/>
      </c>
      <c r="V55" t="str">
        <v/>
      </c>
      <c r="W55" t="str">
        <v/>
      </c>
      <c r="X55" t="str">
        <v/>
      </c>
      <c r="Y55" t="str">
        <v/>
      </c>
      <c r="Z55" t="str">
        <v>HeH Honduras</v>
      </c>
      <c r="AA55" t="str">
        <v>018 CA 6- Pinares de Uyuca - El Zamorano</v>
      </c>
      <c r="AB55" s="3">
        <v>1025440</v>
      </c>
      <c r="AC55" s="3">
        <v>0</v>
      </c>
      <c r="AD55" s="3">
        <v>0</v>
      </c>
      <c r="AE55" s="3">
        <v>0</v>
      </c>
      <c r="AF55" s="3">
        <v>0</v>
      </c>
      <c r="AG55" s="3">
        <v>1025440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1025440</v>
      </c>
      <c r="AN55" s="1" t="d">
        <v>2026-07-16T00:00:00.000Z</v>
      </c>
      <c r="AO55" t="str">
        <v>Crédito</v>
      </c>
      <c r="AP55" t="str">
        <v>Revisada</v>
      </c>
      <c r="AQ55" t="str">
        <v/>
      </c>
      <c r="AR55" t="str">
        <v/>
      </c>
      <c r="AS55" s="1" t="str">
        <v/>
      </c>
      <c r="AT55" t="str">
        <v/>
      </c>
      <c r="AU55" t="str">
        <v/>
      </c>
      <c r="AV55" t="str">
        <v>EJEMPLO - backup buildreq-reset-movements-20260701-203055Z.sql - estado Revisada</v>
      </c>
      <c r="AW55" t="str">
        <v/>
      </c>
      <c r="AX55" t="str">
        <v>018 CA 6- Pinares de Uyuca - El Zamorano</v>
      </c>
      <c r="AY55" t="str">
        <v>bodega_proyecto</v>
      </c>
      <c r="AZ55" t="str">
        <v>compra_directa</v>
      </c>
      <c r="BA55" t="str">
        <v>REQ-018-00000009</v>
      </c>
      <c r="BB55" t="str">
        <v>018</v>
      </c>
      <c r="BC55" t="str">
        <v/>
      </c>
      <c r="BD55" t="str">
        <v>SC-018-00000005</v>
      </c>
      <c r="BE55" t="str">
        <v>CD-018-00000005</v>
      </c>
      <c r="BF55" t="str">
        <v>Pendiente</v>
      </c>
      <c r="BG55" t="str">
        <v>FT-018-00000001</v>
      </c>
      <c r="BH55" t="str">
        <v>RE-018-00000001</v>
      </c>
    </row>
    <row r="56" ht="18" customHeight="1">
      <c r="A56" t="str">
        <v>FT-010-00000005</v>
      </c>
      <c r="B56" t="str">
        <v>010</v>
      </c>
      <c r="C56" t="str">
        <v>05019995159167</v>
      </c>
      <c r="D56" t="str">
        <v>LAZARUS Y LAZARUS SA DE CV</v>
      </c>
      <c r="E56" t="str">
        <v>Banco</v>
      </c>
      <c r="F56" t="str">
        <v>Factura</v>
      </c>
      <c r="G56" s="1" t="d">
        <v>2026-06-16T00:00:00.000Z</v>
      </c>
      <c r="H56" t="str">
        <v>005</v>
      </c>
      <c r="I56" t="str">
        <v>001</v>
      </c>
      <c r="J56" t="str">
        <v>01</v>
      </c>
      <c r="K56" t="str">
        <v>00026905</v>
      </c>
      <c r="L56" t="str">
        <v>4E3FC6-545A9F-0C4CE0-63BE03-09092E-C0</v>
      </c>
      <c r="M56" t="str">
        <v>ADITIVO ADMIX DX2 / ADITIVO ADMIX PLASTIFICANTE F5</v>
      </c>
      <c r="N56" s="2">
        <v>30</v>
      </c>
      <c r="O56" s="3">
        <v>156190</v>
      </c>
      <c r="P56" s="3" t="str">
        <v/>
      </c>
      <c r="Q56" s="3" t="str">
        <v/>
      </c>
      <c r="R56" s="3" t="str">
        <v/>
      </c>
      <c r="S56" t="str">
        <v/>
      </c>
      <c r="T56" t="str">
        <v>N/A</v>
      </c>
      <c r="U56" s="1" t="str">
        <v/>
      </c>
      <c r="V56" t="str">
        <v/>
      </c>
      <c r="W56" t="str">
        <v/>
      </c>
      <c r="X56" t="str">
        <v/>
      </c>
      <c r="Y56" t="str">
        <v/>
      </c>
      <c r="Z56" t="str">
        <v>HeH Honduras</v>
      </c>
      <c r="AA56" t="str">
        <v>010 Sistema de Agua Potable San José</v>
      </c>
      <c r="AB56" s="3">
        <v>156190</v>
      </c>
      <c r="AC56" s="3">
        <v>23428.5</v>
      </c>
      <c r="AD56" s="3">
        <v>0</v>
      </c>
      <c r="AE56" s="3">
        <v>0</v>
      </c>
      <c r="AF56" s="3">
        <v>23428.5</v>
      </c>
      <c r="AG56" s="3">
        <v>179618.5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179618.5</v>
      </c>
      <c r="AN56" s="1" t="d">
        <v>2026-07-16T00:00:00.000Z</v>
      </c>
      <c r="AO56" t="str">
        <v>Crédito</v>
      </c>
      <c r="AP56" t="str">
        <v>Borrador</v>
      </c>
      <c r="AQ56" t="str">
        <v/>
      </c>
      <c r="AR56" t="str">
        <v/>
      </c>
      <c r="AS56" s="1" t="str">
        <v/>
      </c>
      <c r="AT56" t="str">
        <v/>
      </c>
      <c r="AU56" t="str">
        <v/>
      </c>
      <c r="AV56" t="str">
        <v>EJEMPLO - backup buildreq-reset-movements-20260701-203055Z.sql - estado Borrador</v>
      </c>
      <c r="AW56" t="str">
        <v/>
      </c>
      <c r="AX56" t="str">
        <v>010 Sistema de Agua Potable San José</v>
      </c>
      <c r="AY56" t="str">
        <v>bodega_proyecto</v>
      </c>
      <c r="AZ56" t="str">
        <v>compra_directa</v>
      </c>
      <c r="BA56" t="str">
        <v>REQ-010-00000021</v>
      </c>
      <c r="BB56" t="str">
        <v>010</v>
      </c>
      <c r="BC56" t="str">
        <v/>
      </c>
      <c r="BD56" t="str">
        <v>SC-010-00000009</v>
      </c>
      <c r="BE56" t="str">
        <v>OC-010-00000011</v>
      </c>
      <c r="BF56" t="str">
        <v>Pendiente</v>
      </c>
      <c r="BG56" t="str">
        <v>FT-010-00000005</v>
      </c>
      <c r="BH56" t="str">
        <v>RE-010-00000007</v>
      </c>
    </row>
    <row r="57" ht="18" customHeight="1">
      <c r="A57" t="str">
        <v>FT-004-00000011</v>
      </c>
      <c r="B57" t="str">
        <v>004</v>
      </c>
      <c r="C57" t="str">
        <v>05019010301690</v>
      </c>
      <c r="D57" t="str">
        <v>ABCO HONDURAS SA DE CV</v>
      </c>
      <c r="E57" t="str">
        <v>Banco</v>
      </c>
      <c r="F57" t="str">
        <v>Factura</v>
      </c>
      <c r="G57" s="1" t="d">
        <v>2026-06-17T00:00:00.000Z</v>
      </c>
      <c r="H57" t="str">
        <v>111</v>
      </c>
      <c r="I57" t="str">
        <v>111</v>
      </c>
      <c r="J57" t="str">
        <v>11</v>
      </c>
      <c r="K57" t="str">
        <v>11111200</v>
      </c>
      <c r="L57" t="str">
        <v>111111-111111-111111-111111-111111-11</v>
      </c>
      <c r="M57" t="str">
        <v>ACEITE HTF UNIVERSAL PARA FLUIDO HIDRAULICO</v>
      </c>
      <c r="N57" s="2">
        <v>13</v>
      </c>
      <c r="O57" s="3">
        <v>750</v>
      </c>
      <c r="P57" s="3" t="str">
        <v/>
      </c>
      <c r="Q57" s="3" t="str">
        <v/>
      </c>
      <c r="R57" s="3" t="str">
        <v/>
      </c>
      <c r="S57" t="str">
        <v/>
      </c>
      <c r="T57" t="str">
        <v>N/A</v>
      </c>
      <c r="U57" s="1" t="str">
        <v/>
      </c>
      <c r="V57" t="str">
        <v/>
      </c>
      <c r="W57" t="str">
        <v/>
      </c>
      <c r="X57" t="str">
        <v/>
      </c>
      <c r="Y57" t="str">
        <v/>
      </c>
      <c r="Z57" t="str">
        <v>HeH Honduras</v>
      </c>
      <c r="AA57" t="str">
        <v>004 Mantenimiento rutinario CA-5</v>
      </c>
      <c r="AB57" s="3">
        <v>750</v>
      </c>
      <c r="AC57" s="3">
        <v>112.5</v>
      </c>
      <c r="AD57" s="3">
        <v>0</v>
      </c>
      <c r="AE57" s="3">
        <v>0</v>
      </c>
      <c r="AF57" s="3">
        <v>112.5</v>
      </c>
      <c r="AG57" s="3">
        <v>862.5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862.5</v>
      </c>
      <c r="AN57" s="1" t="d">
        <v>2026-06-30T00:00:00.000Z</v>
      </c>
      <c r="AO57" t="str">
        <v>Crédito</v>
      </c>
      <c r="AP57" t="str">
        <v>Borrador</v>
      </c>
      <c r="AQ57" t="str">
        <v/>
      </c>
      <c r="AR57" t="str">
        <v/>
      </c>
      <c r="AS57" s="1" t="str">
        <v/>
      </c>
      <c r="AT57" t="str">
        <v/>
      </c>
      <c r="AU57" t="str">
        <v/>
      </c>
      <c r="AV57" t="str">
        <v>EJEMPLO - backup buildreq-reset-movements-20260701-203055Z.sql - estado Borrador</v>
      </c>
      <c r="AW57" t="str">
        <v/>
      </c>
      <c r="AX57" t="str">
        <v>004 Mantenimiento rutinario CA-5</v>
      </c>
      <c r="AY57" t="str">
        <v>bodega_proyecto</v>
      </c>
      <c r="AZ57" t="str">
        <v>local</v>
      </c>
      <c r="BA57" t="str">
        <v>REQ-004-00000029</v>
      </c>
      <c r="BB57" t="str">
        <v>004</v>
      </c>
      <c r="BC57" t="str">
        <v/>
      </c>
      <c r="BD57" t="str">
        <v>SC-004-00000021</v>
      </c>
      <c r="BE57" t="str">
        <v>OC-004-00000017</v>
      </c>
      <c r="BF57" t="str">
        <v>Pendiente</v>
      </c>
      <c r="BG57" t="str">
        <v>FT-004-00000011</v>
      </c>
      <c r="BH57" t="str">
        <v>RE-004-00000013</v>
      </c>
    </row>
    <row r="58" ht="18" customHeight="1">
      <c r="A58" t="str">
        <v>FT-007-00000003</v>
      </c>
      <c r="B58" t="str">
        <v>007</v>
      </c>
      <c r="C58" t="str">
        <v>05019010301690</v>
      </c>
      <c r="D58" t="str">
        <v>ABCO HONDURAS SA DE CV</v>
      </c>
      <c r="E58" t="str">
        <v>Banco</v>
      </c>
      <c r="F58" t="str">
        <v>Factura</v>
      </c>
      <c r="G58" s="1" t="d">
        <v>2026-06-17T00:00:00.000Z</v>
      </c>
      <c r="H58" t="str">
        <v>111</v>
      </c>
      <c r="I58" t="str">
        <v>111</v>
      </c>
      <c r="J58" t="str">
        <v>11</v>
      </c>
      <c r="K58" t="str">
        <v>11111201</v>
      </c>
      <c r="L58" t="str">
        <v>111111-111111-111111-111111-111111-11</v>
      </c>
      <c r="M58" t="str">
        <v>ACEITE HTF UNIVERSAL PARA FLUIDO HIDRAULICO</v>
      </c>
      <c r="N58" s="2">
        <v>13</v>
      </c>
      <c r="O58" s="3">
        <v>1500</v>
      </c>
      <c r="P58" s="3" t="str">
        <v/>
      </c>
      <c r="Q58" s="3" t="str">
        <v/>
      </c>
      <c r="R58" s="3" t="str">
        <v/>
      </c>
      <c r="S58" t="str">
        <v/>
      </c>
      <c r="T58" t="str">
        <v>N/A</v>
      </c>
      <c r="U58" s="1" t="str">
        <v/>
      </c>
      <c r="V58" t="str">
        <v/>
      </c>
      <c r="W58" t="str">
        <v/>
      </c>
      <c r="X58" t="str">
        <v/>
      </c>
      <c r="Y58" t="str">
        <v/>
      </c>
      <c r="Z58" t="str">
        <v>HeH Honduras</v>
      </c>
      <c r="AA58" t="str">
        <v>007 Obras adicionales CA-5</v>
      </c>
      <c r="AB58" s="3">
        <v>1500</v>
      </c>
      <c r="AC58" s="3">
        <v>225</v>
      </c>
      <c r="AD58" s="3">
        <v>0</v>
      </c>
      <c r="AE58" s="3">
        <v>0</v>
      </c>
      <c r="AF58" s="3">
        <v>225</v>
      </c>
      <c r="AG58" s="3">
        <v>1725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1725</v>
      </c>
      <c r="AN58" s="1" t="d">
        <v>2026-06-30T00:00:00.000Z</v>
      </c>
      <c r="AO58" t="str">
        <v>Crédito</v>
      </c>
      <c r="AP58" t="str">
        <v>Borrador</v>
      </c>
      <c r="AQ58" t="str">
        <v/>
      </c>
      <c r="AR58" t="str">
        <v/>
      </c>
      <c r="AS58" s="1" t="str">
        <v/>
      </c>
      <c r="AT58" t="str">
        <v/>
      </c>
      <c r="AU58" t="str">
        <v/>
      </c>
      <c r="AV58" t="str">
        <v>EJEMPLO - backup buildreq-reset-movements-20260701-203055Z.sql - estado Borrador</v>
      </c>
      <c r="AW58" t="str">
        <v/>
      </c>
      <c r="AX58" t="str">
        <v>007 Obras adicionales CA-5</v>
      </c>
      <c r="AY58" t="str">
        <v>cerrada</v>
      </c>
      <c r="AZ58" t="str">
        <v>local</v>
      </c>
      <c r="BA58" t="str">
        <v>REQ-007-00000004</v>
      </c>
      <c r="BB58" t="str">
        <v>007</v>
      </c>
      <c r="BC58" t="str">
        <v/>
      </c>
      <c r="BD58" t="str">
        <v>SC-007-00000003</v>
      </c>
      <c r="BE58" t="str">
        <v>OC-007-00000003</v>
      </c>
      <c r="BF58" t="str">
        <v>Pendiente</v>
      </c>
      <c r="BG58" t="str">
        <v>FT-007-00000003</v>
      </c>
      <c r="BH58" t="str">
        <v>RE-007-00000003</v>
      </c>
    </row>
    <row r="59" ht="18" customHeight="1">
      <c r="A59" t="str">
        <v>FT-004-00000013</v>
      </c>
      <c r="B59" t="str">
        <v>004</v>
      </c>
      <c r="C59" t="str">
        <v>08019003252404</v>
      </c>
      <c r="D59" t="str">
        <v>PETROLEOS Y ENERGIA DE HONDURAS SA DE CV (PETRHOSA)</v>
      </c>
      <c r="E59" t="str">
        <v>Banco</v>
      </c>
      <c r="F59" t="str">
        <v>Factura</v>
      </c>
      <c r="G59" s="1" t="d">
        <v>2026-06-17T00:00:00.000Z</v>
      </c>
      <c r="H59" t="str">
        <v>000</v>
      </c>
      <c r="I59" t="str">
        <v>001</v>
      </c>
      <c r="J59" t="str">
        <v>01</v>
      </c>
      <c r="K59" t="str">
        <v>00636344</v>
      </c>
      <c r="L59" t="str">
        <v>5328EC-0924E5-7507E0-63BE03-090983-0B</v>
      </c>
      <c r="M59" t="str">
        <v>DIESEL</v>
      </c>
      <c r="N59" s="2">
        <v>31</v>
      </c>
      <c r="O59" s="3" t="str">
        <v/>
      </c>
      <c r="P59" s="3" t="str">
        <v/>
      </c>
      <c r="Q59" s="3" t="str">
        <v/>
      </c>
      <c r="R59" s="3">
        <v>1021760</v>
      </c>
      <c r="S59" t="str">
        <v/>
      </c>
      <c r="T59" t="str">
        <v>N/A</v>
      </c>
      <c r="U59" s="1" t="str">
        <v/>
      </c>
      <c r="V59" t="str">
        <v/>
      </c>
      <c r="W59" t="str">
        <v/>
      </c>
      <c r="X59" t="str">
        <v/>
      </c>
      <c r="Y59" t="str">
        <v/>
      </c>
      <c r="Z59" t="str">
        <v>HeH Honduras</v>
      </c>
      <c r="AA59" t="str">
        <v>004 Mantenimiento rutinario CA-5</v>
      </c>
      <c r="AB59" s="3">
        <v>1021760</v>
      </c>
      <c r="AC59" s="3">
        <v>0</v>
      </c>
      <c r="AD59" s="3">
        <v>0</v>
      </c>
      <c r="AE59" s="3">
        <v>0</v>
      </c>
      <c r="AF59" s="3">
        <v>0</v>
      </c>
      <c r="AG59" s="3">
        <v>1021760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1021760</v>
      </c>
      <c r="AN59" s="1" t="d">
        <v>2026-07-18T00:00:00.000Z</v>
      </c>
      <c r="AO59" t="str">
        <v>Crédito</v>
      </c>
      <c r="AP59" t="str">
        <v>Revisada</v>
      </c>
      <c r="AQ59" t="str">
        <v/>
      </c>
      <c r="AR59" t="str">
        <v/>
      </c>
      <c r="AS59" s="1" t="str">
        <v/>
      </c>
      <c r="AT59" t="str">
        <v/>
      </c>
      <c r="AU59" t="str">
        <v/>
      </c>
      <c r="AV59" t="str">
        <v>EJEMPLO - backup buildreq-reset-movements-20260701-203055Z.sql - estado Revisada</v>
      </c>
      <c r="AW59" t="str">
        <v/>
      </c>
      <c r="AX59" t="str">
        <v>004 Mantenimiento rutinario CA-5</v>
      </c>
      <c r="AY59" t="str">
        <v>bodega_proyecto</v>
      </c>
      <c r="AZ59" t="str">
        <v>compra_directa</v>
      </c>
      <c r="BA59" t="str">
        <v>REQ-004-00000032</v>
      </c>
      <c r="BB59" t="str">
        <v>004</v>
      </c>
      <c r="BC59" t="str">
        <v/>
      </c>
      <c r="BD59" t="str">
        <v>SC-004-00000023</v>
      </c>
      <c r="BE59" t="str">
        <v>CD-004-00000019</v>
      </c>
      <c r="BF59" t="str">
        <v>Pendiente</v>
      </c>
      <c r="BG59" t="str">
        <v>FT-004-00000013</v>
      </c>
      <c r="BH59" t="str">
        <v>RE-004-00000015</v>
      </c>
    </row>
    <row r="60" ht="18" customHeight="1">
      <c r="A60" t="str">
        <v>FT-004-00000014</v>
      </c>
      <c r="B60" t="str">
        <v>004</v>
      </c>
      <c r="C60" t="str">
        <v>05101982008264</v>
      </c>
      <c r="D60" t="str">
        <v>VILLALOBOS CASTILLO OMAR JAVIER</v>
      </c>
      <c r="E60" t="str">
        <v>Banco</v>
      </c>
      <c r="F60" t="str">
        <v>Factura</v>
      </c>
      <c r="G60" s="1" t="d">
        <v>2026-06-17T00:00:00.000Z</v>
      </c>
      <c r="H60" t="str">
        <v>000</v>
      </c>
      <c r="I60" t="str">
        <v>001</v>
      </c>
      <c r="J60" t="str">
        <v>01</v>
      </c>
      <c r="K60" t="str">
        <v>00000495</v>
      </c>
      <c r="L60" t="str">
        <v>391F83-918EE0-DA6BE0-63BE03-090973-FE</v>
      </c>
      <c r="M60" t="str">
        <v>REPARACION DE MANGUERA</v>
      </c>
      <c r="N60" s="2">
        <v>30</v>
      </c>
      <c r="O60" s="3">
        <v>1913.04</v>
      </c>
      <c r="P60" s="3" t="str">
        <v/>
      </c>
      <c r="Q60" s="3" t="str">
        <v/>
      </c>
      <c r="R60" s="3" t="str">
        <v/>
      </c>
      <c r="S60" t="str">
        <v/>
      </c>
      <c r="T60" t="str">
        <v>N/A</v>
      </c>
      <c r="U60" s="1" t="str">
        <v/>
      </c>
      <c r="V60" t="str">
        <v/>
      </c>
      <c r="W60" t="str">
        <v/>
      </c>
      <c r="X60" t="str">
        <v/>
      </c>
      <c r="Y60" t="str">
        <v/>
      </c>
      <c r="Z60" t="str">
        <v>HeH Honduras</v>
      </c>
      <c r="AA60" t="str">
        <v>004 Mantenimiento rutinario CA-5</v>
      </c>
      <c r="AB60" s="3">
        <v>1913.04</v>
      </c>
      <c r="AC60" s="3">
        <v>286.96</v>
      </c>
      <c r="AD60" s="3">
        <v>0</v>
      </c>
      <c r="AE60" s="3">
        <v>0</v>
      </c>
      <c r="AF60" s="3">
        <v>286.96</v>
      </c>
      <c r="AG60" s="3">
        <v>2200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2200</v>
      </c>
      <c r="AN60" s="1" t="d">
        <v>2026-07-17T00:00:00.000Z</v>
      </c>
      <c r="AO60" t="str">
        <v>Crédito</v>
      </c>
      <c r="AP60" t="str">
        <v>Revisada</v>
      </c>
      <c r="AQ60" t="str">
        <v/>
      </c>
      <c r="AR60" t="str">
        <v/>
      </c>
      <c r="AS60" s="1" t="str">
        <v/>
      </c>
      <c r="AT60" t="str">
        <v/>
      </c>
      <c r="AU60" t="str">
        <v/>
      </c>
      <c r="AV60" t="str">
        <v>EJEMPLO - backup buildreq-reset-movements-20260701-203055Z.sql - estado Revisada</v>
      </c>
      <c r="AW60" t="str">
        <v/>
      </c>
      <c r="AX60" t="str">
        <v>004 Mantenimiento rutinario CA-5</v>
      </c>
      <c r="AY60" t="str">
        <v>bodega_proyecto</v>
      </c>
      <c r="AZ60" t="str">
        <v>local</v>
      </c>
      <c r="BA60" t="str">
        <v>REQ-004-00000033</v>
      </c>
      <c r="BB60" t="str">
        <v>004</v>
      </c>
      <c r="BC60" t="str">
        <v/>
      </c>
      <c r="BD60" t="str">
        <v>SC-004-00000024</v>
      </c>
      <c r="BE60" t="str">
        <v>OC-004-00000022</v>
      </c>
      <c r="BF60" t="str">
        <v>Pendiente</v>
      </c>
      <c r="BG60" t="str">
        <v>FT-004-00000014</v>
      </c>
      <c r="BH60" t="str">
        <v>RE-004-00000016</v>
      </c>
    </row>
    <row r="61" ht="18" customHeight="1">
      <c r="A61" t="str">
        <v>FT-020-00000003</v>
      </c>
      <c r="B61" t="str">
        <v>020</v>
      </c>
      <c r="C61" t="str">
        <v>05011979082558</v>
      </c>
      <c r="D61" t="str">
        <v>CLAROS CARIAS OMAR ALEXIS</v>
      </c>
      <c r="E61" t="str">
        <v>Banco</v>
      </c>
      <c r="F61" t="str">
        <v>Factura</v>
      </c>
      <c r="G61" s="1" t="d">
        <v>2026-06-17T00:00:00.000Z</v>
      </c>
      <c r="H61" t="str">
        <v>000</v>
      </c>
      <c r="I61" t="str">
        <v>001</v>
      </c>
      <c r="J61" t="str">
        <v>04</v>
      </c>
      <c r="K61" t="str">
        <v>00002404</v>
      </c>
      <c r="L61" t="str">
        <v>51CAC8-5F5BDF-0EE0E0-63BE03-0909A6-4E</v>
      </c>
      <c r="M61" t="str">
        <v>CXC CONSTRUCCIONES MERCURIO SA DE CV POR 50% DE HONORARIOS Y GASTOS POR PERMISO ESPECIAL DE PERMANENCIA DEL SR JUAN LOPEZ CALVAY</v>
      </c>
      <c r="N61" s="2">
        <v>7</v>
      </c>
      <c r="O61" s="3" t="str">
        <v/>
      </c>
      <c r="P61" s="3" t="str">
        <v/>
      </c>
      <c r="Q61" s="3" t="str">
        <v/>
      </c>
      <c r="R61" s="3">
        <v>29500</v>
      </c>
      <c r="S61" t="str">
        <v/>
      </c>
      <c r="T61" t="str">
        <v>N/A</v>
      </c>
      <c r="U61" s="1" t="str">
        <v/>
      </c>
      <c r="V61" t="str">
        <v/>
      </c>
      <c r="W61" t="str">
        <v/>
      </c>
      <c r="X61" t="str">
        <v/>
      </c>
      <c r="Y61" t="str">
        <v/>
      </c>
      <c r="Z61" t="str">
        <v>HeH Honduras</v>
      </c>
      <c r="AA61" t="str">
        <v>020 San Fco. de Becerra - San Luis de Las Lajas</v>
      </c>
      <c r="AB61" s="3">
        <v>29500</v>
      </c>
      <c r="AC61" s="3">
        <v>0</v>
      </c>
      <c r="AD61" s="3">
        <v>0</v>
      </c>
      <c r="AE61" s="3">
        <v>0</v>
      </c>
      <c r="AF61" s="3">
        <v>0</v>
      </c>
      <c r="AG61" s="3">
        <v>29500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29500</v>
      </c>
      <c r="AN61" s="1" t="d">
        <v>2026-06-24T00:00:00.000Z</v>
      </c>
      <c r="AO61" t="str">
        <v>Crédito</v>
      </c>
      <c r="AP61" t="str">
        <v>Revisada</v>
      </c>
      <c r="AQ61" t="str">
        <v/>
      </c>
      <c r="AR61" t="str">
        <v/>
      </c>
      <c r="AS61" s="1" t="str">
        <v/>
      </c>
      <c r="AT61" t="str">
        <v/>
      </c>
      <c r="AU61" t="str">
        <v/>
      </c>
      <c r="AV61" t="str">
        <v>EJEMPLO - backup buildreq-reset-movements-20260701-203055Z.sql - estado Revisada</v>
      </c>
      <c r="AW61" t="str">
        <v/>
      </c>
      <c r="AX61" t="str">
        <v>020 San Fco. de Becerra - San Luis de Las Lajas</v>
      </c>
      <c r="AY61" t="str">
        <v>bodega_proyecto</v>
      </c>
      <c r="AZ61" t="str">
        <v>compra_directa</v>
      </c>
      <c r="BA61" t="str">
        <v>REQ-020-00000006</v>
      </c>
      <c r="BB61" t="str">
        <v>020</v>
      </c>
      <c r="BC61" t="str">
        <v/>
      </c>
      <c r="BD61" t="str">
        <v>SC-020-00000005</v>
      </c>
      <c r="BE61" t="str">
        <v>CD-020-00000007</v>
      </c>
      <c r="BF61" t="str">
        <v>Pendiente</v>
      </c>
      <c r="BG61" t="str">
        <v>FT-020-00000003</v>
      </c>
      <c r="BH61" t="str">
        <v>RE-020-00000003</v>
      </c>
    </row>
    <row r="62" ht="18" customHeight="1">
      <c r="A62" t="str">
        <v>FT-007-00000004</v>
      </c>
      <c r="B62" t="str">
        <v>007</v>
      </c>
      <c r="C62" t="str">
        <v>05019010301690</v>
      </c>
      <c r="D62" t="str">
        <v>ABCO HONDURAS SA DE CV</v>
      </c>
      <c r="E62" t="str">
        <v>Banco</v>
      </c>
      <c r="F62" t="str">
        <v>Factura</v>
      </c>
      <c r="G62" s="1" t="d">
        <v>2026-06-18T00:00:00.000Z</v>
      </c>
      <c r="H62" t="str">
        <v>111</v>
      </c>
      <c r="I62" t="str">
        <v>111</v>
      </c>
      <c r="J62" t="str">
        <v>11</v>
      </c>
      <c r="K62" t="str">
        <v>11111203</v>
      </c>
      <c r="L62" t="str">
        <v>111111-111111-111111-111111-111111-11</v>
      </c>
      <c r="M62" t="str">
        <v>ACEITE HTF UNIVERSAL PARA FLUIDO HIDRAULICO</v>
      </c>
      <c r="N62" s="2">
        <v>1</v>
      </c>
      <c r="O62" s="3">
        <v>750</v>
      </c>
      <c r="P62" s="3" t="str">
        <v/>
      </c>
      <c r="Q62" s="3" t="str">
        <v/>
      </c>
      <c r="R62" s="3" t="str">
        <v/>
      </c>
      <c r="S62" t="str">
        <v/>
      </c>
      <c r="T62" t="str">
        <v>N/A</v>
      </c>
      <c r="U62" s="1" t="str">
        <v/>
      </c>
      <c r="V62" t="str">
        <v/>
      </c>
      <c r="W62" t="str">
        <v/>
      </c>
      <c r="X62" t="str">
        <v/>
      </c>
      <c r="Y62" t="str">
        <v/>
      </c>
      <c r="Z62" t="str">
        <v>HeH Honduras</v>
      </c>
      <c r="AA62" t="str">
        <v>007 Obras adicionales CA-5</v>
      </c>
      <c r="AB62" s="3">
        <v>750</v>
      </c>
      <c r="AC62" s="3">
        <v>112.5</v>
      </c>
      <c r="AD62" s="3">
        <v>0</v>
      </c>
      <c r="AE62" s="3">
        <v>0</v>
      </c>
      <c r="AF62" s="3">
        <v>112.5</v>
      </c>
      <c r="AG62" s="3">
        <v>862.5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862.5</v>
      </c>
      <c r="AN62" s="1" t="d">
        <v>2026-06-19T00:00:00.000Z</v>
      </c>
      <c r="AO62" t="str">
        <v>Crédito</v>
      </c>
      <c r="AP62" t="str">
        <v>Borrador</v>
      </c>
      <c r="AQ62" t="str">
        <v/>
      </c>
      <c r="AR62" t="str">
        <v/>
      </c>
      <c r="AS62" s="1" t="str">
        <v/>
      </c>
      <c r="AT62" t="str">
        <v/>
      </c>
      <c r="AU62" t="str">
        <v/>
      </c>
      <c r="AV62" t="str">
        <v>EJEMPLO - backup buildreq-reset-movements-20260701-203055Z.sql - estado Borrador</v>
      </c>
      <c r="AW62" t="str">
        <v/>
      </c>
      <c r="AX62" t="str">
        <v>007 Obras adicionales CA-5</v>
      </c>
      <c r="AY62" t="str">
        <v>cerrada</v>
      </c>
      <c r="AZ62" t="str">
        <v>compra_directa</v>
      </c>
      <c r="BA62" t="str">
        <v>REQ-007-00000005</v>
      </c>
      <c r="BB62" t="str">
        <v>007</v>
      </c>
      <c r="BC62" t="str">
        <v/>
      </c>
      <c r="BD62" t="str">
        <v>SC-007-00000004</v>
      </c>
      <c r="BE62" t="str">
        <v>CD-007-00000004</v>
      </c>
      <c r="BF62" t="str">
        <v>Pendiente</v>
      </c>
      <c r="BG62" t="str">
        <v>FT-007-00000004</v>
      </c>
      <c r="BH62" t="str">
        <v>RE-007-00000005</v>
      </c>
    </row>
    <row r="63" ht="18" customHeight="1">
      <c r="A63" t="str">
        <v>FT-004-00000012</v>
      </c>
      <c r="B63" t="str">
        <v>004</v>
      </c>
      <c r="C63" t="str">
        <v>05019010301690</v>
      </c>
      <c r="D63" t="str">
        <v>ABCO HONDURAS SA DE CV</v>
      </c>
      <c r="E63" t="str">
        <v>Banco</v>
      </c>
      <c r="F63" t="str">
        <v>Factura</v>
      </c>
      <c r="G63" s="1" t="d">
        <v>2026-06-18T00:00:00.000Z</v>
      </c>
      <c r="H63" t="str">
        <v>111</v>
      </c>
      <c r="I63" t="str">
        <v>111</v>
      </c>
      <c r="J63" t="str">
        <v>11</v>
      </c>
      <c r="K63" t="str">
        <v>11111204</v>
      </c>
      <c r="L63" t="str">
        <v>111111-111111-111111-111111-111111-11</v>
      </c>
      <c r="M63" t="str">
        <v>ACEITE HTF UNIVERSAL PARA FLUIDO HIDRAULICO</v>
      </c>
      <c r="N63" s="2">
        <v>7</v>
      </c>
      <c r="O63" s="3">
        <v>1500</v>
      </c>
      <c r="P63" s="3" t="str">
        <v/>
      </c>
      <c r="Q63" s="3" t="str">
        <v/>
      </c>
      <c r="R63" s="3" t="str">
        <v/>
      </c>
      <c r="S63" t="str">
        <v/>
      </c>
      <c r="T63" t="str">
        <v>N/A</v>
      </c>
      <c r="U63" s="1" t="str">
        <v/>
      </c>
      <c r="V63" t="str">
        <v/>
      </c>
      <c r="W63" t="str">
        <v/>
      </c>
      <c r="X63" t="str">
        <v/>
      </c>
      <c r="Y63" t="str">
        <v/>
      </c>
      <c r="Z63" t="str">
        <v>HeH Honduras</v>
      </c>
      <c r="AA63" t="str">
        <v>004 Mantenimiento rutinario CA-5</v>
      </c>
      <c r="AB63" s="3">
        <v>1500</v>
      </c>
      <c r="AC63" s="3">
        <v>225</v>
      </c>
      <c r="AD63" s="3">
        <v>0</v>
      </c>
      <c r="AE63" s="3">
        <v>0</v>
      </c>
      <c r="AF63" s="3">
        <v>225</v>
      </c>
      <c r="AG63" s="3">
        <v>1725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1725</v>
      </c>
      <c r="AN63" s="1" t="d">
        <v>2026-06-25T00:00:00.000Z</v>
      </c>
      <c r="AO63" t="str">
        <v>Crédito</v>
      </c>
      <c r="AP63" t="str">
        <v>Borrador</v>
      </c>
      <c r="AQ63" t="str">
        <v/>
      </c>
      <c r="AR63" t="str">
        <v/>
      </c>
      <c r="AS63" s="1" t="str">
        <v/>
      </c>
      <c r="AT63" t="str">
        <v/>
      </c>
      <c r="AU63" t="str">
        <v/>
      </c>
      <c r="AV63" t="str">
        <v>EJEMPLO - backup buildreq-reset-movements-20260701-203055Z.sql - estado Borrador</v>
      </c>
      <c r="AW63" t="str">
        <v/>
      </c>
      <c r="AX63" t="str">
        <v>004 Mantenimiento rutinario CA-5</v>
      </c>
      <c r="AY63" t="str">
        <v>bodega_proyecto</v>
      </c>
      <c r="AZ63" t="str">
        <v>local</v>
      </c>
      <c r="BA63" t="str">
        <v>REQ-004-00000031</v>
      </c>
      <c r="BB63" t="str">
        <v>004</v>
      </c>
      <c r="BC63" t="str">
        <v/>
      </c>
      <c r="BD63" t="str">
        <v>SC-004-00000022</v>
      </c>
      <c r="BE63" t="str">
        <v>OC-004-00000018</v>
      </c>
      <c r="BF63" t="str">
        <v>Pendiente</v>
      </c>
      <c r="BG63" t="str">
        <v>FT-004-00000012</v>
      </c>
      <c r="BH63" t="str">
        <v>RE-004-00000014</v>
      </c>
    </row>
    <row r="64" ht="18" customHeight="1">
      <c r="A64" t="str">
        <v>FT-017-00000006</v>
      </c>
      <c r="B64" t="str">
        <v>017</v>
      </c>
      <c r="C64" t="str">
        <v>05029002059059</v>
      </c>
      <c r="D64" t="str">
        <v>CEMENTOS DEL NORTE SA</v>
      </c>
      <c r="E64" t="str">
        <v>Banco</v>
      </c>
      <c r="F64" t="str">
        <v>Factura</v>
      </c>
      <c r="G64" s="1" t="d">
        <v>2026-06-18T00:00:00.000Z</v>
      </c>
      <c r="H64" t="str">
        <v>000</v>
      </c>
      <c r="I64" t="str">
        <v>001</v>
      </c>
      <c r="J64" t="str">
        <v>01</v>
      </c>
      <c r="K64" t="str">
        <v>00758962</v>
      </c>
      <c r="L64" t="str">
        <v>4D7CA2-2303DE-BB0EE0-63BE03-090952-8B</v>
      </c>
      <c r="M64" t="str">
        <v>CEMENTO TIPO GU SACO 42.5 KG</v>
      </c>
      <c r="N64" s="2">
        <v>64</v>
      </c>
      <c r="O64" s="3">
        <v>115358.4</v>
      </c>
      <c r="P64" s="3" t="str">
        <v/>
      </c>
      <c r="Q64" s="3" t="str">
        <v/>
      </c>
      <c r="R64" s="3" t="str">
        <v/>
      </c>
      <c r="S64" t="str">
        <v/>
      </c>
      <c r="T64" t="str">
        <v>N/A</v>
      </c>
      <c r="U64" s="1" t="str">
        <v/>
      </c>
      <c r="V64" t="str">
        <v/>
      </c>
      <c r="W64" t="str">
        <v/>
      </c>
      <c r="X64" t="str">
        <v/>
      </c>
      <c r="Y64" t="str">
        <v/>
      </c>
      <c r="Z64" t="str">
        <v>HeH Honduras</v>
      </c>
      <c r="AA64" t="str">
        <v>017 CA-4 Ocotepeque - El Portillo</v>
      </c>
      <c r="AB64" s="3">
        <v>115358.4</v>
      </c>
      <c r="AC64" s="3">
        <v>17303.76</v>
      </c>
      <c r="AD64" s="3">
        <v>0</v>
      </c>
      <c r="AE64" s="3">
        <v>0</v>
      </c>
      <c r="AF64" s="3">
        <v>17303.76</v>
      </c>
      <c r="AG64" s="3">
        <v>132662.16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132662.16</v>
      </c>
      <c r="AN64" s="1" t="d">
        <v>2026-08-21T00:00:00.000Z</v>
      </c>
      <c r="AO64" t="str">
        <v>Crédito</v>
      </c>
      <c r="AP64" t="str">
        <v>Borrador</v>
      </c>
      <c r="AQ64" t="str">
        <v/>
      </c>
      <c r="AR64" t="str">
        <v/>
      </c>
      <c r="AS64" s="1" t="str">
        <v/>
      </c>
      <c r="AT64" t="str">
        <v/>
      </c>
      <c r="AU64" t="str">
        <v/>
      </c>
      <c r="AV64" t="str">
        <v>EJEMPLO - backup buildreq-reset-movements-20260701-203055Z.sql - estado Borrador</v>
      </c>
      <c r="AW64" t="str">
        <v/>
      </c>
      <c r="AX64" t="str">
        <v>017 CA-4 Ocotepeque - El Portillo</v>
      </c>
      <c r="AY64" t="str">
        <v>bodega_proyecto</v>
      </c>
      <c r="AZ64" t="str">
        <v>compra_directa</v>
      </c>
      <c r="BA64" t="str">
        <v>REQ-017-00000025</v>
      </c>
      <c r="BB64" t="str">
        <v>017</v>
      </c>
      <c r="BC64" t="str">
        <v/>
      </c>
      <c r="BD64" t="str">
        <v>SC-017-00000018</v>
      </c>
      <c r="BE64" t="str">
        <v>OC-017-00000013</v>
      </c>
      <c r="BF64" t="str">
        <v>Pendiente</v>
      </c>
      <c r="BG64" t="str">
        <v>FT-017-00000006</v>
      </c>
      <c r="BH64" t="str">
        <v>RE-017-00000006</v>
      </c>
    </row>
    <row r="65" ht="18" customHeight="1">
      <c r="A65" t="str">
        <v>FT-006-00000017</v>
      </c>
      <c r="B65" t="str">
        <v>006</v>
      </c>
      <c r="C65" t="str">
        <v>05019019142980</v>
      </c>
      <c r="D65" t="str">
        <v>FILTROS Y TECNOLOGIAS INDUSTRIALES S DE RL</v>
      </c>
      <c r="E65" t="str">
        <v>Banco</v>
      </c>
      <c r="F65" t="str">
        <v>Factura</v>
      </c>
      <c r="G65" s="1" t="d">
        <v>2026-06-19T00:00:00.000Z</v>
      </c>
      <c r="H65" t="str">
        <v>000</v>
      </c>
      <c r="I65" t="str">
        <v>002</v>
      </c>
      <c r="J65" t="str">
        <v>01</v>
      </c>
      <c r="K65" t="str">
        <v>00029925</v>
      </c>
      <c r="L65" t="str">
        <v>388281-5203EA-A419E0-63BE03-09069A-35</v>
      </c>
      <c r="M65" t="str">
        <v>MANTENIMIENTO EQUIPO MENOR GASOLINA VARIAS SERIE</v>
      </c>
      <c r="N65" s="2">
        <v>30</v>
      </c>
      <c r="O65" s="3">
        <v>12534</v>
      </c>
      <c r="P65" s="3" t="str">
        <v/>
      </c>
      <c r="Q65" s="3" t="str">
        <v/>
      </c>
      <c r="R65" s="3" t="str">
        <v/>
      </c>
      <c r="S65" t="str">
        <v/>
      </c>
      <c r="T65" t="str">
        <v>N/A</v>
      </c>
      <c r="U65" s="1" t="str">
        <v/>
      </c>
      <c r="V65" t="str">
        <v/>
      </c>
      <c r="W65" t="str">
        <v/>
      </c>
      <c r="X65" t="str">
        <v/>
      </c>
      <c r="Y65" t="str">
        <v/>
      </c>
      <c r="Z65" t="str">
        <v>HeH Honduras</v>
      </c>
      <c r="AA65" t="str">
        <v>006 Mantenimiento periódico</v>
      </c>
      <c r="AB65" s="3">
        <v>12534</v>
      </c>
      <c r="AC65" s="3">
        <v>1880.1</v>
      </c>
      <c r="AD65" s="3">
        <v>0</v>
      </c>
      <c r="AE65" s="3">
        <v>0</v>
      </c>
      <c r="AF65" s="3">
        <v>1880.1</v>
      </c>
      <c r="AG65" s="3">
        <v>14414.1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14414.1</v>
      </c>
      <c r="AN65" s="1" t="d">
        <v>2026-07-19T00:00:00.000Z</v>
      </c>
      <c r="AO65" t="str">
        <v>Crédito</v>
      </c>
      <c r="AP65" t="str">
        <v>Borrador</v>
      </c>
      <c r="AQ65" t="str">
        <v/>
      </c>
      <c r="AR65" t="str">
        <v/>
      </c>
      <c r="AS65" s="1" t="str">
        <v/>
      </c>
      <c r="AT65" t="str">
        <v/>
      </c>
      <c r="AU65" t="str">
        <v/>
      </c>
      <c r="AV65" t="str">
        <v>EJEMPLO - backup buildreq-reset-movements-20260701-203055Z.sql - estado Borrador</v>
      </c>
      <c r="AW65" t="str">
        <v/>
      </c>
      <c r="AX65" t="str">
        <v>006 Mantenimiento periódico</v>
      </c>
      <c r="AY65" t="str">
        <v>bodega_proyecto</v>
      </c>
      <c r="AZ65" t="str">
        <v>local</v>
      </c>
      <c r="BA65" t="str">
        <v>REQ-006-00000043</v>
      </c>
      <c r="BB65" t="str">
        <v>006</v>
      </c>
      <c r="BC65" t="str">
        <v/>
      </c>
      <c r="BD65" t="str">
        <v>SC-006-00000028</v>
      </c>
      <c r="BE65" t="str">
        <v>OC-006-00000018</v>
      </c>
      <c r="BF65" t="str">
        <v>Pendiente</v>
      </c>
      <c r="BG65" t="str">
        <v>FT-006-00000017</v>
      </c>
      <c r="BH65" t="str">
        <v>RE-006-00000020</v>
      </c>
    </row>
    <row r="66" ht="18" customHeight="1">
      <c r="A66" t="str">
        <v>FT-010-00000002</v>
      </c>
      <c r="B66" t="str">
        <v>010</v>
      </c>
      <c r="C66" t="str">
        <v>08019003252404</v>
      </c>
      <c r="D66" t="str">
        <v>PETROLEOS Y ENERGIA DE HONDURAS SA DE CV (PETRHOSA)</v>
      </c>
      <c r="E66" t="str">
        <v>Banco</v>
      </c>
      <c r="F66" t="str">
        <v>Factura</v>
      </c>
      <c r="G66" s="1" t="d">
        <v>2026-06-26T00:00:00.000Z</v>
      </c>
      <c r="H66" t="str">
        <v>000</v>
      </c>
      <c r="I66" t="str">
        <v>001</v>
      </c>
      <c r="J66" t="str">
        <v>01</v>
      </c>
      <c r="K66" t="str">
        <v>00634156</v>
      </c>
      <c r="L66" t="str">
        <v>5328EC-0924E5-7507E0-63BE03-090983-0B</v>
      </c>
      <c r="M66" t="str">
        <v>DIESEL</v>
      </c>
      <c r="N66" s="2">
        <v>5</v>
      </c>
      <c r="O66" s="3" t="str">
        <v/>
      </c>
      <c r="P66" s="3" t="str">
        <v/>
      </c>
      <c r="Q66" s="3" t="str">
        <v/>
      </c>
      <c r="R66" s="3">
        <v>1048000</v>
      </c>
      <c r="S66" t="str">
        <v/>
      </c>
      <c r="T66" t="str">
        <v>N/A</v>
      </c>
      <c r="U66" s="1" t="str">
        <v/>
      </c>
      <c r="V66" t="str">
        <v/>
      </c>
      <c r="W66" t="str">
        <v/>
      </c>
      <c r="X66" t="str">
        <v/>
      </c>
      <c r="Y66" t="str">
        <v/>
      </c>
      <c r="Z66" t="str">
        <v>HeH Honduras</v>
      </c>
      <c r="AA66" t="str">
        <v>010 Sistema de Agua Potable San José</v>
      </c>
      <c r="AB66" s="3">
        <v>1048000</v>
      </c>
      <c r="AC66" s="3">
        <v>0</v>
      </c>
      <c r="AD66" s="3">
        <v>0</v>
      </c>
      <c r="AE66" s="3">
        <v>0</v>
      </c>
      <c r="AF66" s="3">
        <v>0</v>
      </c>
      <c r="AG66" s="3">
        <v>1048000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1048000</v>
      </c>
      <c r="AN66" s="1" t="d">
        <v>2026-07-01T00:00:00.000Z</v>
      </c>
      <c r="AO66" t="str">
        <v>Crédito</v>
      </c>
      <c r="AP66" t="str">
        <v>Revisada</v>
      </c>
      <c r="AQ66" t="str">
        <v/>
      </c>
      <c r="AR66" t="str">
        <v/>
      </c>
      <c r="AS66" s="1" t="str">
        <v/>
      </c>
      <c r="AT66" t="str">
        <v/>
      </c>
      <c r="AU66" t="str">
        <v/>
      </c>
      <c r="AV66" t="str">
        <v>EJEMPLO - backup buildreq-reset-movements-20260701-203055Z.sql - estado Revisada</v>
      </c>
      <c r="AW66" t="str">
        <v/>
      </c>
      <c r="AX66" t="str">
        <v>010 Sistema de Agua Potable San José</v>
      </c>
      <c r="AY66" t="str">
        <v>bodega_proyecto</v>
      </c>
      <c r="AZ66" t="str">
        <v>compra_directa</v>
      </c>
      <c r="BA66" t="str">
        <v>REQ-010-00000006</v>
      </c>
      <c r="BB66" t="str">
        <v>010</v>
      </c>
      <c r="BC66" t="str">
        <v/>
      </c>
      <c r="BD66" t="str">
        <v>SC-010-00000002</v>
      </c>
      <c r="BE66" t="str">
        <v>CD-010-00000003</v>
      </c>
      <c r="BF66" t="str">
        <v>Pendiente</v>
      </c>
      <c r="BG66" t="str">
        <v>FT-010-00000002</v>
      </c>
      <c r="BH66" t="str">
        <v>RE-010-00000002</v>
      </c>
    </row>
    <row r="67" ht="18" customHeight="1">
      <c r="A67" t="str">
        <v>FT-006-00000021</v>
      </c>
      <c r="B67" t="str">
        <v>006</v>
      </c>
      <c r="C67" t="str">
        <v>05019020218772</v>
      </c>
      <c r="D67" t="str">
        <v>INVERSIONES TC S DE RL</v>
      </c>
      <c r="E67" t="str">
        <v>Banco</v>
      </c>
      <c r="F67" t="str">
        <v>Factura</v>
      </c>
      <c r="G67" s="1" t="d">
        <v>2026-06-26T00:00:00.000Z</v>
      </c>
      <c r="H67" t="str">
        <v>000</v>
      </c>
      <c r="I67" t="str">
        <v>002</v>
      </c>
      <c r="J67" t="str">
        <v>01</v>
      </c>
      <c r="K67" t="str">
        <v>00014643</v>
      </c>
      <c r="L67" t="str">
        <v>5233F6-B20B51-5760E0-63BE03-0909A7-02</v>
      </c>
      <c r="M67" t="str">
        <v>CAMBIO DE TOLDO</v>
      </c>
      <c r="N67" s="2">
        <v>-335</v>
      </c>
      <c r="O67" s="3">
        <v>9445.65</v>
      </c>
      <c r="P67" s="3" t="str">
        <v/>
      </c>
      <c r="Q67" s="3" t="str">
        <v/>
      </c>
      <c r="R67" s="3" t="str">
        <v/>
      </c>
      <c r="S67" t="str">
        <v/>
      </c>
      <c r="T67" t="str">
        <v>N/A</v>
      </c>
      <c r="U67" s="1" t="str">
        <v/>
      </c>
      <c r="V67" t="str">
        <v/>
      </c>
      <c r="W67" t="str">
        <v/>
      </c>
      <c r="X67" t="str">
        <v/>
      </c>
      <c r="Y67" t="str">
        <v/>
      </c>
      <c r="Z67" t="str">
        <v>HeH Honduras</v>
      </c>
      <c r="AA67" t="str">
        <v>006 Mantenimiento periódico</v>
      </c>
      <c r="AB67" s="3">
        <v>9445.65</v>
      </c>
      <c r="AC67" s="3">
        <v>1416.85</v>
      </c>
      <c r="AD67" s="3">
        <v>0</v>
      </c>
      <c r="AE67" s="3">
        <v>0</v>
      </c>
      <c r="AF67" s="3">
        <v>1416.85</v>
      </c>
      <c r="AG67" s="3">
        <v>10862.5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10862.5</v>
      </c>
      <c r="AN67" s="1" t="d">
        <v>2025-07-26T00:00:00.000Z</v>
      </c>
      <c r="AO67" t="str">
        <v>Contado</v>
      </c>
      <c r="AP67" t="str">
        <v>Borrador</v>
      </c>
      <c r="AQ67" t="str">
        <v/>
      </c>
      <c r="AR67" t="str">
        <v/>
      </c>
      <c r="AS67" s="1" t="str">
        <v/>
      </c>
      <c r="AT67" t="str">
        <v/>
      </c>
      <c r="AU67" t="str">
        <v/>
      </c>
      <c r="AV67" t="str">
        <v>EJEMPLO - backup buildreq-reset-movements-20260701-203055Z.sql - estado Borrador</v>
      </c>
      <c r="AW67" t="str">
        <v/>
      </c>
      <c r="AX67" t="str">
        <v>006 Mantenimiento periódico</v>
      </c>
      <c r="AY67" t="str">
        <v>bodega_proyecto</v>
      </c>
      <c r="AZ67" t="str">
        <v>local</v>
      </c>
      <c r="BA67" t="str">
        <v>REQ-006-00000069</v>
      </c>
      <c r="BB67" t="str">
        <v>006</v>
      </c>
      <c r="BC67" t="str">
        <v/>
      </c>
      <c r="BD67" t="str">
        <v>SC-006-00000044</v>
      </c>
      <c r="BE67" t="str">
        <v>OC-006-00000029</v>
      </c>
      <c r="BF67" t="str">
        <v>Pendiente</v>
      </c>
      <c r="BG67" t="str">
        <v>FT-006-00000021</v>
      </c>
      <c r="BH67" t="str">
        <v>RE-006-00000026</v>
      </c>
    </row>
    <row r="68" ht="18" customHeight="1">
      <c r="A68" t="str">
        <v>FT-004-00000022</v>
      </c>
      <c r="B68" t="str">
        <v>004</v>
      </c>
      <c r="C68" t="str">
        <v>05019000046793</v>
      </c>
      <c r="D68" t="str">
        <v>CEMCOL COMERCIAL SA DE CV</v>
      </c>
      <c r="E68" t="str">
        <v>Banco</v>
      </c>
      <c r="F68" t="str">
        <v>Factura</v>
      </c>
      <c r="G68" s="1" t="d">
        <v>2026-06-26T00:00:00.000Z</v>
      </c>
      <c r="H68" t="str">
        <v>000</v>
      </c>
      <c r="I68" t="str">
        <v>005</v>
      </c>
      <c r="J68" t="str">
        <v>01</v>
      </c>
      <c r="K68" t="str">
        <v>00204438</v>
      </c>
      <c r="L68" t="str">
        <v>486F6C-0CCBF4-C2C0E0-63BE03-090936-8D</v>
      </c>
      <c r="M68" t="str">
        <v>TRACTOR AGRICOLA</v>
      </c>
      <c r="N68" s="2">
        <v>30</v>
      </c>
      <c r="O68" s="3">
        <v>10680.98</v>
      </c>
      <c r="P68" s="3" t="str">
        <v/>
      </c>
      <c r="Q68" s="3" t="str">
        <v/>
      </c>
      <c r="R68" s="3" t="str">
        <v/>
      </c>
      <c r="S68" t="str">
        <v/>
      </c>
      <c r="T68" t="str">
        <v>N/A</v>
      </c>
      <c r="U68" s="1" t="str">
        <v/>
      </c>
      <c r="V68" t="str">
        <v/>
      </c>
      <c r="W68" t="str">
        <v/>
      </c>
      <c r="X68" t="str">
        <v/>
      </c>
      <c r="Y68" t="str">
        <v/>
      </c>
      <c r="Z68" t="str">
        <v>HeH Honduras</v>
      </c>
      <c r="AA68" t="str">
        <v>004 Mantenimiento rutinario CA-5</v>
      </c>
      <c r="AB68" s="3">
        <v>10680.98</v>
      </c>
      <c r="AC68" s="3">
        <v>1602.15</v>
      </c>
      <c r="AD68" s="3">
        <v>0</v>
      </c>
      <c r="AE68" s="3">
        <v>0</v>
      </c>
      <c r="AF68" s="3">
        <v>1602.15</v>
      </c>
      <c r="AG68" s="3">
        <v>12283.13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12283.13</v>
      </c>
      <c r="AN68" s="1" t="d">
        <v>2026-07-26T00:00:00.000Z</v>
      </c>
      <c r="AO68" t="str">
        <v>Crédito</v>
      </c>
      <c r="AP68" t="str">
        <v>Borrador</v>
      </c>
      <c r="AQ68" t="str">
        <v/>
      </c>
      <c r="AR68" t="str">
        <v/>
      </c>
      <c r="AS68" s="1" t="str">
        <v/>
      </c>
      <c r="AT68" t="str">
        <v/>
      </c>
      <c r="AU68" t="str">
        <v/>
      </c>
      <c r="AV68" t="str">
        <v>EJEMPLO - backup buildreq-reset-movements-20260701-203055Z.sql - estado Borrador</v>
      </c>
      <c r="AW68" t="str">
        <v/>
      </c>
      <c r="AX68" t="str">
        <v>004 Mantenimiento rutinario CA-5</v>
      </c>
      <c r="AY68" t="str">
        <v>cerrada</v>
      </c>
      <c r="AZ68" t="str">
        <v>local</v>
      </c>
      <c r="BA68" t="str">
        <v>REQ-004-00000047</v>
      </c>
      <c r="BB68" t="str">
        <v>004</v>
      </c>
      <c r="BC68" t="str">
        <v/>
      </c>
      <c r="BD68" t="str">
        <v>SC-004-00000033</v>
      </c>
      <c r="BE68" t="str">
        <v>OC-004-00000030</v>
      </c>
      <c r="BF68" t="str">
        <v>Pendiente</v>
      </c>
      <c r="BG68" t="str">
        <v>FT-004-00000022</v>
      </c>
      <c r="BH68" t="str">
        <v>RE-004-00000031</v>
      </c>
    </row>
    <row r="69" ht="18" customHeight="1">
      <c r="A69" t="str">
        <v>FT-006-00000024</v>
      </c>
      <c r="B69" t="str">
        <v>SP-PRUEBAS SP-PRUEBAS</v>
      </c>
      <c r="C69" t="str">
        <v>05019001047297</v>
      </c>
      <c r="D69" t="str">
        <v>COMERCIAL MAEGA S DE  RL DE CV</v>
      </c>
      <c r="E69" t="str">
        <v>Banco</v>
      </c>
      <c r="F69" t="str">
        <v>Factura</v>
      </c>
      <c r="G69" s="1" t="d">
        <v>2026-06-26T00:00:00.000Z</v>
      </c>
      <c r="H69" t="str">
        <v>000</v>
      </c>
      <c r="I69" t="str">
        <v>002</v>
      </c>
      <c r="J69" t="str">
        <v>01</v>
      </c>
      <c r="K69" t="str">
        <v>00050441</v>
      </c>
      <c r="L69" t="str">
        <v>4FA9FB-25E475-553CE0-63BE03-0909E0-7B</v>
      </c>
      <c r="M69" t="str">
        <v>CAMBIO DE BATERIA</v>
      </c>
      <c r="N69" s="2">
        <v>29</v>
      </c>
      <c r="O69" s="3">
        <v>3724.35</v>
      </c>
      <c r="P69" s="3" t="str">
        <v/>
      </c>
      <c r="Q69" s="3" t="str">
        <v/>
      </c>
      <c r="R69" s="3" t="str">
        <v/>
      </c>
      <c r="S69" t="str">
        <v/>
      </c>
      <c r="T69" t="str">
        <v>N/A</v>
      </c>
      <c r="U69" s="1" t="str">
        <v/>
      </c>
      <c r="V69" t="str">
        <v/>
      </c>
      <c r="W69" t="str">
        <v/>
      </c>
      <c r="X69" t="str">
        <v/>
      </c>
      <c r="Y69" t="str">
        <v/>
      </c>
      <c r="Z69" t="str">
        <v>HeH Honduras</v>
      </c>
      <c r="AA69" t="str">
        <v>006 Mantenimiento periódico</v>
      </c>
      <c r="AB69" s="3">
        <v>3724.35</v>
      </c>
      <c r="AC69" s="3">
        <v>558.65</v>
      </c>
      <c r="AD69" s="3">
        <v>0</v>
      </c>
      <c r="AE69" s="3">
        <v>0</v>
      </c>
      <c r="AF69" s="3">
        <v>558.65</v>
      </c>
      <c r="AG69" s="3">
        <v>4283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4283</v>
      </c>
      <c r="AN69" s="1" t="d">
        <v>2026-07-25T00:00:00.000Z</v>
      </c>
      <c r="AO69" t="str">
        <v>Crédito</v>
      </c>
      <c r="AP69" t="str">
        <v>Borrador</v>
      </c>
      <c r="AQ69" t="str">
        <v/>
      </c>
      <c r="AR69" t="str">
        <v/>
      </c>
      <c r="AS69" s="1" t="str">
        <v/>
      </c>
      <c r="AT69" t="str">
        <v/>
      </c>
      <c r="AU69" t="str">
        <v/>
      </c>
      <c r="AV69" t="str">
        <v>EJEMPLO - backup buildreq-reset-movements-20260701-203055Z.sql - estado Borrador</v>
      </c>
      <c r="AW69" t="str">
        <v/>
      </c>
      <c r="AX69" t="str">
        <v>006 Mantenimiento periódico</v>
      </c>
      <c r="AY69" t="str">
        <v>bodega_proyecto</v>
      </c>
      <c r="AZ69" t="str">
        <v>local</v>
      </c>
      <c r="BA69" t="str">
        <v>REQ-006-00000066</v>
      </c>
      <c r="BB69" t="str">
        <v>006</v>
      </c>
      <c r="BC69" t="str">
        <v>SP-PRUEBAS SP-PRUEBAS</v>
      </c>
      <c r="BD69" t="str">
        <v>SC-006-00000041</v>
      </c>
      <c r="BE69" t="str">
        <v>OC-006-00000026</v>
      </c>
      <c r="BF69" t="str">
        <v>Pendiente</v>
      </c>
      <c r="BG69" t="str">
        <v>FT-006-00000024</v>
      </c>
      <c r="BH69" t="str">
        <v>RE-006-00000029</v>
      </c>
    </row>
    <row r="70" ht="18" customHeight="1">
      <c r="A70" t="str">
        <v>FT-006-00000023</v>
      </c>
      <c r="B70" t="str">
        <v>006</v>
      </c>
      <c r="C70" t="str">
        <v>05012000148043</v>
      </c>
      <c r="D70" t="str">
        <v>VILLANUEVA UMAÑA DAVID AHIEZER</v>
      </c>
      <c r="E70" t="str">
        <v>Banco</v>
      </c>
      <c r="F70" t="str">
        <v>Factura</v>
      </c>
      <c r="G70" s="1" t="d">
        <v>2026-06-27T00:00:00.000Z</v>
      </c>
      <c r="H70" t="str">
        <v>000</v>
      </c>
      <c r="I70" t="str">
        <v>001</v>
      </c>
      <c r="J70" t="str">
        <v>01</v>
      </c>
      <c r="K70" t="str">
        <v>00005005</v>
      </c>
      <c r="L70" t="str">
        <v>4D7A2F-5506D0-0B59E0-63BE03-090925-81</v>
      </c>
      <c r="M70" t="str">
        <v>INSTALAR FLECHA Y BALINERA</v>
      </c>
      <c r="N70" s="2">
        <v>30</v>
      </c>
      <c r="O70" s="3">
        <v>3200</v>
      </c>
      <c r="P70" s="3" t="str">
        <v/>
      </c>
      <c r="Q70" s="3" t="str">
        <v/>
      </c>
      <c r="R70" s="3" t="str">
        <v/>
      </c>
      <c r="S70" t="str">
        <v/>
      </c>
      <c r="T70" t="str">
        <v>N/A</v>
      </c>
      <c r="U70" s="1" t="str">
        <v/>
      </c>
      <c r="V70" t="str">
        <v/>
      </c>
      <c r="W70" t="str">
        <v/>
      </c>
      <c r="X70" t="str">
        <v/>
      </c>
      <c r="Y70" t="str">
        <v/>
      </c>
      <c r="Z70" t="str">
        <v>HeH Honduras</v>
      </c>
      <c r="AA70" t="str">
        <v>006 Mantenimiento periódico</v>
      </c>
      <c r="AB70" s="3">
        <v>3200</v>
      </c>
      <c r="AC70" s="3">
        <v>480</v>
      </c>
      <c r="AD70" s="3">
        <v>0</v>
      </c>
      <c r="AE70" s="3">
        <v>0</v>
      </c>
      <c r="AF70" s="3">
        <v>480</v>
      </c>
      <c r="AG70" s="3">
        <v>3680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3680</v>
      </c>
      <c r="AN70" s="1" t="d">
        <v>2026-07-27T00:00:00.000Z</v>
      </c>
      <c r="AO70" t="str">
        <v>Crédito</v>
      </c>
      <c r="AP70" t="str">
        <v>Borrador</v>
      </c>
      <c r="AQ70" t="str">
        <v/>
      </c>
      <c r="AR70" t="str">
        <v/>
      </c>
      <c r="AS70" s="1" t="str">
        <v/>
      </c>
      <c r="AT70" t="str">
        <v/>
      </c>
      <c r="AU70" t="str">
        <v/>
      </c>
      <c r="AV70" t="str">
        <v>EJEMPLO - backup buildreq-reset-movements-20260701-203055Z.sql - estado Borrador</v>
      </c>
      <c r="AW70" t="str">
        <v/>
      </c>
      <c r="AX70" t="str">
        <v>006 Mantenimiento periódico</v>
      </c>
      <c r="AY70" t="str">
        <v>bodega_proyecto</v>
      </c>
      <c r="AZ70" t="str">
        <v>local</v>
      </c>
      <c r="BA70" t="str">
        <v>REQ-006-00000068</v>
      </c>
      <c r="BB70" t="str">
        <v>006</v>
      </c>
      <c r="BC70" t="str">
        <v/>
      </c>
      <c r="BD70" t="str">
        <v>SC-006-00000043</v>
      </c>
      <c r="BE70" t="str">
        <v>OC-006-00000028</v>
      </c>
      <c r="BF70" t="str">
        <v>Pendiente</v>
      </c>
      <c r="BG70" t="str">
        <v>FT-006-00000023</v>
      </c>
      <c r="BH70" t="str">
        <v>RE-006-00000028</v>
      </c>
    </row>
    <row r="71" ht="18" customHeight="1">
      <c r="A71" t="str">
        <v>FT-004-00000019</v>
      </c>
      <c r="B71" t="str">
        <v>004</v>
      </c>
      <c r="C71" t="str">
        <v>05019010301690</v>
      </c>
      <c r="D71" t="str">
        <v>ABCO HONDURAS SA DE CV</v>
      </c>
      <c r="E71" t="str">
        <v>Banco</v>
      </c>
      <c r="F71" t="str">
        <v>Factura</v>
      </c>
      <c r="G71" s="1" t="d">
        <v>2026-06-29T00:00:00.000Z</v>
      </c>
      <c r="H71" t="str">
        <v>111</v>
      </c>
      <c r="I71" t="str">
        <v>111</v>
      </c>
      <c r="J71" t="str">
        <v>11</v>
      </c>
      <c r="K71" t="str">
        <v>11111205</v>
      </c>
      <c r="L71" t="str">
        <v>111111-111111-111111-111111-111111-11</v>
      </c>
      <c r="M71" t="str">
        <v>CEMENTO GU EN SACO 42.5KG</v>
      </c>
      <c r="N71" s="2">
        <v>0</v>
      </c>
      <c r="O71" s="3" t="str">
        <v/>
      </c>
      <c r="P71" s="3" t="str">
        <v/>
      </c>
      <c r="Q71" s="3" t="str">
        <v/>
      </c>
      <c r="R71" s="3">
        <v>20000</v>
      </c>
      <c r="S71" t="str">
        <v/>
      </c>
      <c r="T71" t="str">
        <v>N/A</v>
      </c>
      <c r="U71" s="1" t="str">
        <v/>
      </c>
      <c r="V71" t="str">
        <v/>
      </c>
      <c r="W71" t="str">
        <v/>
      </c>
      <c r="X71" t="str">
        <v/>
      </c>
      <c r="Y71" t="str">
        <v/>
      </c>
      <c r="Z71" t="str">
        <v>HeH Honduras</v>
      </c>
      <c r="AA71" t="str">
        <v>004 Mantenimiento rutinario CA-5</v>
      </c>
      <c r="AB71" s="3">
        <v>20000</v>
      </c>
      <c r="AC71" s="3">
        <v>0</v>
      </c>
      <c r="AD71" s="3">
        <v>0</v>
      </c>
      <c r="AE71" s="3">
        <v>0</v>
      </c>
      <c r="AF71" s="3">
        <v>0</v>
      </c>
      <c r="AG71" s="3">
        <v>20000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20000</v>
      </c>
      <c r="AN71" s="1" t="d">
        <v>2026-06-29T00:00:00.000Z</v>
      </c>
      <c r="AO71" t="str">
        <v>Contado</v>
      </c>
      <c r="AP71" t="str">
        <v>Borrador</v>
      </c>
      <c r="AQ71" t="str">
        <v/>
      </c>
      <c r="AR71" t="str">
        <v/>
      </c>
      <c r="AS71" s="1" t="str">
        <v/>
      </c>
      <c r="AT71" t="str">
        <v/>
      </c>
      <c r="AU71" t="str">
        <v/>
      </c>
      <c r="AV71" t="str">
        <v>EJEMPLO - backup buildreq-reset-movements-20260701-203055Z.sql - estado Borrador</v>
      </c>
      <c r="AW71" t="str">
        <v/>
      </c>
      <c r="AX71" t="str">
        <v>004 Mantenimiento rutinario CA-5</v>
      </c>
      <c r="AY71" t="str">
        <v>bodega_proyecto</v>
      </c>
      <c r="AZ71" t="str">
        <v>compra_directa</v>
      </c>
      <c r="BA71" t="str">
        <v>REQ-004-00000043</v>
      </c>
      <c r="BB71" t="str">
        <v>004</v>
      </c>
      <c r="BC71" t="str">
        <v/>
      </c>
      <c r="BD71" t="str">
        <v>SC-004-00000030</v>
      </c>
      <c r="BE71" t="str">
        <v>CD-004-00000027</v>
      </c>
      <c r="BF71" t="str">
        <v>Pendiente</v>
      </c>
      <c r="BG71" t="str">
        <v>FT-004-00000019</v>
      </c>
      <c r="BH71" t="str">
        <v>RE-004-00000026</v>
      </c>
    </row>
    <row r="72" ht="18" customHeight="1">
      <c r="A72" t="str">
        <v>FT-004-00000021</v>
      </c>
      <c r="B72" t="str">
        <v>004</v>
      </c>
      <c r="C72" t="str">
        <v>08019000235234</v>
      </c>
      <c r="D72" t="str">
        <v>LARACH Y CIA S DE RL DE CV</v>
      </c>
      <c r="E72" t="str">
        <v>Credito</v>
      </c>
      <c r="F72" t="str">
        <v>Factura</v>
      </c>
      <c r="G72" s="1" t="d">
        <v>2026-06-29T00:00:00.000Z</v>
      </c>
      <c r="H72" t="str">
        <v>111</v>
      </c>
      <c r="I72" t="str">
        <v>111</v>
      </c>
      <c r="J72" t="str">
        <v>11</v>
      </c>
      <c r="K72" t="str">
        <v>11111210</v>
      </c>
      <c r="L72" t="str">
        <v>555555-555555-555555-555555-555555-55</v>
      </c>
      <c r="M72" t="str">
        <v>CEMENTO GU EN SACO 42.5KG</v>
      </c>
      <c r="N72" s="2">
        <v>0</v>
      </c>
      <c r="O72" s="3" t="str">
        <v/>
      </c>
      <c r="P72" s="3" t="str">
        <v/>
      </c>
      <c r="Q72" s="3" t="str">
        <v/>
      </c>
      <c r="R72" s="3">
        <v>2500</v>
      </c>
      <c r="S72" t="str">
        <v/>
      </c>
      <c r="T72" t="str">
        <v>N/A</v>
      </c>
      <c r="U72" s="1" t="str">
        <v/>
      </c>
      <c r="V72" t="str">
        <v/>
      </c>
      <c r="W72" t="str">
        <v/>
      </c>
      <c r="X72" t="str">
        <v/>
      </c>
      <c r="Y72" t="str">
        <v/>
      </c>
      <c r="Z72" t="str">
        <v>HeH Honduras</v>
      </c>
      <c r="AA72" t="str">
        <v>004 Mantenimiento rutinario CA-5</v>
      </c>
      <c r="AB72" s="3">
        <v>2500</v>
      </c>
      <c r="AC72" s="3">
        <v>0</v>
      </c>
      <c r="AD72" s="3">
        <v>0</v>
      </c>
      <c r="AE72" s="3">
        <v>0</v>
      </c>
      <c r="AF72" s="3">
        <v>0</v>
      </c>
      <c r="AG72" s="3">
        <v>2500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2500</v>
      </c>
      <c r="AN72" s="1" t="d">
        <v>2026-06-29T00:00:00.000Z</v>
      </c>
      <c r="AO72" t="str">
        <v>Contado</v>
      </c>
      <c r="AP72" t="str">
        <v>Registrada</v>
      </c>
      <c r="AQ72" t="str">
        <v/>
      </c>
      <c r="AR72" t="str">
        <v/>
      </c>
      <c r="AS72" s="1" t="str">
        <v/>
      </c>
      <c r="AT72" t="str">
        <v/>
      </c>
      <c r="AU72" t="str">
        <v/>
      </c>
      <c r="AV72" t="str">
        <v>EJEMPLO - backup buildreq-reset-movements-20260701-203055Z.sql - estado Registrada</v>
      </c>
      <c r="AW72" t="str">
        <v/>
      </c>
      <c r="AX72" t="str">
        <v>004 Mantenimiento rutinario CA-5</v>
      </c>
      <c r="AY72" t="str">
        <v>cerrada</v>
      </c>
      <c r="AZ72" t="str">
        <v>compra_directa</v>
      </c>
      <c r="BA72" t="str">
        <v>REQ-004-00000046</v>
      </c>
      <c r="BB72" t="str">
        <v>004</v>
      </c>
      <c r="BC72" t="str">
        <v/>
      </c>
      <c r="BD72" t="str">
        <v>SC-004-00000032</v>
      </c>
      <c r="BE72" t="str">
        <v>CD-004-00000029</v>
      </c>
      <c r="BF72" t="str">
        <v>Registrada</v>
      </c>
      <c r="BG72" t="str">
        <v>FT-004-00000021</v>
      </c>
      <c r="BH72" t="str">
        <v>RE-004-00000029</v>
      </c>
    </row>
    <row r="73" ht="18" customHeight="1">
      <c r="A73" t="str">
        <v>FT-017-00000007</v>
      </c>
      <c r="B73" t="str">
        <v>017</v>
      </c>
      <c r="C73" t="str">
        <v>14011975002046</v>
      </c>
      <c r="D73" t="str">
        <v>SANTOS PORTILLO MARVIN JOSE</v>
      </c>
      <c r="E73" t="str">
        <v>Banco</v>
      </c>
      <c r="F73" t="str">
        <v>Factura</v>
      </c>
      <c r="G73" s="1" t="d">
        <v>2026-06-29T00:00:00.000Z</v>
      </c>
      <c r="H73" t="str">
        <v>003</v>
      </c>
      <c r="I73" t="str">
        <v>001</v>
      </c>
      <c r="J73" t="str">
        <v>01</v>
      </c>
      <c r="K73" t="str">
        <v>02401732</v>
      </c>
      <c r="L73" t="str">
        <v>3A9D0C-CC5656-F9D6E0-63BE03-09094F-D5</v>
      </c>
      <c r="M73" t="str">
        <v>GASOLINA REGULAR</v>
      </c>
      <c r="N73" s="2">
        <v>30</v>
      </c>
      <c r="O73" s="3" t="str">
        <v/>
      </c>
      <c r="P73" s="3" t="str">
        <v/>
      </c>
      <c r="Q73" s="3" t="str">
        <v/>
      </c>
      <c r="R73" s="3">
        <v>24508</v>
      </c>
      <c r="S73" t="str">
        <v/>
      </c>
      <c r="T73" t="str">
        <v>N/A</v>
      </c>
      <c r="U73" s="1" t="str">
        <v/>
      </c>
      <c r="V73" t="str">
        <v/>
      </c>
      <c r="W73" t="str">
        <v/>
      </c>
      <c r="X73" t="str">
        <v/>
      </c>
      <c r="Y73" t="str">
        <v/>
      </c>
      <c r="Z73" t="str">
        <v>HeH Honduras</v>
      </c>
      <c r="AA73" t="str">
        <v>017 CA-4 Ocotepeque - El Portillo</v>
      </c>
      <c r="AB73" s="3">
        <v>24508</v>
      </c>
      <c r="AC73" s="3">
        <v>0</v>
      </c>
      <c r="AD73" s="3">
        <v>0</v>
      </c>
      <c r="AE73" s="3">
        <v>0</v>
      </c>
      <c r="AF73" s="3">
        <v>0</v>
      </c>
      <c r="AG73" s="3">
        <v>24508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24508</v>
      </c>
      <c r="AN73" s="1" t="d">
        <v>2026-07-29T00:00:00.000Z</v>
      </c>
      <c r="AO73" t="str">
        <v>Crédito</v>
      </c>
      <c r="AP73" t="str">
        <v>Borrador</v>
      </c>
      <c r="AQ73" t="str">
        <v/>
      </c>
      <c r="AR73" t="str">
        <v/>
      </c>
      <c r="AS73" s="1" t="str">
        <v/>
      </c>
      <c r="AT73" t="str">
        <v/>
      </c>
      <c r="AU73" t="str">
        <v/>
      </c>
      <c r="AV73" t="str">
        <v>EJEMPLO - backup buildreq-reset-movements-20260701-203055Z.sql - estado Borrador</v>
      </c>
      <c r="AW73" t="str">
        <v/>
      </c>
      <c r="AX73" t="str">
        <v>017 CA-4 Ocotepeque - El Portillo</v>
      </c>
      <c r="AY73" t="str">
        <v>bodega_proyecto</v>
      </c>
      <c r="AZ73" t="str">
        <v>local</v>
      </c>
      <c r="BA73" t="str">
        <v>REQ-017-00000027</v>
      </c>
      <c r="BB73" t="str">
        <v>017</v>
      </c>
      <c r="BC73" t="str">
        <v/>
      </c>
      <c r="BD73" t="str">
        <v>SC-017-00000019</v>
      </c>
      <c r="BE73" t="str">
        <v>OC-017-00000015</v>
      </c>
      <c r="BF73" t="str">
        <v>Pendiente</v>
      </c>
      <c r="BG73" t="str">
        <v>FT-017-00000007</v>
      </c>
      <c r="BH73" t="str">
        <v>RE-017-00000007</v>
      </c>
    </row>
    <row r="74" ht="18" customHeight="1">
      <c r="A74" t="str">
        <v>FT-006-00000022</v>
      </c>
      <c r="B74" t="str">
        <v>SP-PRUEBAS SP-PRUEBAS</v>
      </c>
      <c r="C74" t="str">
        <v>08019021287292</v>
      </c>
      <c r="D74" t="str">
        <v>AUTO REPUESTOS ORDOÑEZ SA</v>
      </c>
      <c r="E74" t="str">
        <v>Banco</v>
      </c>
      <c r="F74" t="str">
        <v>Factura</v>
      </c>
      <c r="G74" s="1" t="d">
        <v>2026-06-30T00:00:00.000Z</v>
      </c>
      <c r="H74" t="str">
        <v>111</v>
      </c>
      <c r="I74" t="str">
        <v>111</v>
      </c>
      <c r="J74" t="str">
        <v>11</v>
      </c>
      <c r="K74" t="str">
        <v>11111111</v>
      </c>
      <c r="L74" t="str">
        <v>111111-111111-111111-111111-111111-11</v>
      </c>
      <c r="M74" t="str">
        <v>PASTILLA FRENOS</v>
      </c>
      <c r="N74" s="2">
        <v>0</v>
      </c>
      <c r="O74" s="3">
        <v>400</v>
      </c>
      <c r="P74" s="3" t="str">
        <v/>
      </c>
      <c r="Q74" s="3" t="str">
        <v/>
      </c>
      <c r="R74" s="3" t="str">
        <v/>
      </c>
      <c r="S74" t="str">
        <v/>
      </c>
      <c r="T74" t="str">
        <v>N/A</v>
      </c>
      <c r="U74" s="1" t="str">
        <v/>
      </c>
      <c r="V74" t="str">
        <v/>
      </c>
      <c r="W74" t="str">
        <v/>
      </c>
      <c r="X74" t="str">
        <v/>
      </c>
      <c r="Y74" t="str">
        <v/>
      </c>
      <c r="Z74" t="str">
        <v>HeH Honduras</v>
      </c>
      <c r="AA74" t="str">
        <v>006 Mantenimiento periódico</v>
      </c>
      <c r="AB74" s="3">
        <v>400</v>
      </c>
      <c r="AC74" s="3">
        <v>60</v>
      </c>
      <c r="AD74" s="3">
        <v>0</v>
      </c>
      <c r="AE74" s="3">
        <v>0</v>
      </c>
      <c r="AF74" s="3">
        <v>60</v>
      </c>
      <c r="AG74" s="3">
        <v>460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460</v>
      </c>
      <c r="AN74" s="1" t="d">
        <v>2026-06-30T00:00:00.000Z</v>
      </c>
      <c r="AO74" t="str">
        <v>Contado</v>
      </c>
      <c r="AP74" t="str">
        <v>Borrador</v>
      </c>
      <c r="AQ74" t="str">
        <v/>
      </c>
      <c r="AR74" t="str">
        <v/>
      </c>
      <c r="AS74" s="1" t="str">
        <v/>
      </c>
      <c r="AT74" t="str">
        <v/>
      </c>
      <c r="AU74" t="str">
        <v/>
      </c>
      <c r="AV74" t="str">
        <v>EJEMPLO - backup buildreq-reset-movements-20260701-203055Z.sql - estado Borrador</v>
      </c>
      <c r="AW74" t="str">
        <v/>
      </c>
      <c r="AX74" t="str">
        <v>006 Mantenimiento periódico</v>
      </c>
      <c r="AY74" t="str">
        <v>bodega_proyecto</v>
      </c>
      <c r="AZ74" t="str">
        <v>local</v>
      </c>
      <c r="BA74" t="str">
        <v>REQ-006-00000070</v>
      </c>
      <c r="BB74" t="str">
        <v>006</v>
      </c>
      <c r="BC74" t="str">
        <v>SP-PRUEBAS SP-PRUEBAS</v>
      </c>
      <c r="BD74" t="str">
        <v>SC-006-00000045</v>
      </c>
      <c r="BE74" t="str">
        <v>OC-006-00000030</v>
      </c>
      <c r="BF74" t="str">
        <v>Pendiente</v>
      </c>
      <c r="BG74" t="str">
        <v>FT-006-00000022</v>
      </c>
      <c r="BH74" t="str">
        <v>RE-006-00000027</v>
      </c>
    </row>
    <row r="75" ht="18" customHeight="1">
      <c r="A75" t="str">
        <v>Total</v>
      </c>
      <c r="B75" t="str">
        <v/>
      </c>
      <c r="C75" t="str">
        <v/>
      </c>
      <c r="D75" t="str">
        <f>SUBTOTAL(103,D4:D74)</f>
        <v>71</v>
      </c>
      <c r="E75" t="str">
        <v/>
      </c>
      <c r="F75" t="str">
        <v/>
      </c>
      <c r="G75" s="1" t="str">
        <v/>
      </c>
      <c r="H75" t="str">
        <f>SUBTOTAL(103,H4:H74)</f>
        <v>71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s="2" t="str">
        <v/>
      </c>
      <c r="O75" s="3" t="str">
        <f>SUBTOTAL(109,O4:O74)</f>
        <v>128429099.46</v>
      </c>
      <c r="P75" s="3" t="str">
        <f>SUBTOTAL(109,P4:P74)</f>
        <v>0</v>
      </c>
      <c r="Q75" s="3" t="str">
        <f>SUBTOTAL(109,Q4:Q74)</f>
        <v>0</v>
      </c>
      <c r="R75" s="3" t="str">
        <f>SUBTOTAL(109,R4:R74)</f>
        <v>33548044.64</v>
      </c>
      <c r="S75" t="str">
        <v/>
      </c>
      <c r="T75" t="str">
        <f>SUBTOTAL(103,T4:T74)</f>
        <v>8</v>
      </c>
      <c r="U75" s="1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s="3" t="str">
        <f>SUBTOTAL(109,AB4:AB74)</f>
        <v>161977144.1</v>
      </c>
      <c r="AC75" s="3" t="str">
        <f>SUBTOTAL(109,AC4:AC74)</f>
        <v>19264364.91</v>
      </c>
      <c r="AD75" s="3" t="str">
        <f>SUBTOTAL(109,AD4:AD74)</f>
        <v>0</v>
      </c>
      <c r="AE75" s="3" t="str">
        <f>SUBTOTAL(109,AE4:AE74)</f>
        <v>0</v>
      </c>
      <c r="AF75" s="3" t="str">
        <f>SUBTOTAL(109,AF4:AF74)</f>
        <v>19264364.91</v>
      </c>
      <c r="AG75" s="3" t="str">
        <f>SUBTOTAL(109,AG4:AG74)</f>
        <v>181241509.02</v>
      </c>
      <c r="AH75" s="3" t="str">
        <f>SUBTOTAL(109,AH4:AH74)</f>
        <v>302940.6</v>
      </c>
      <c r="AI75" s="3" t="str">
        <f>SUBTOTAL(109,AI4:AI74)</f>
        <v>125</v>
      </c>
      <c r="AJ75" s="3" t="str">
        <f>SUBTOTAL(109,AJ4:AJ74)</f>
        <v>0</v>
      </c>
      <c r="AK75" s="3" t="str">
        <f>SUBTOTAL(109,AK4:AK74)</f>
        <v>4528125</v>
      </c>
      <c r="AL75" s="3" t="str">
        <f>SUBTOTAL(109,AL4:AL74)</f>
        <v>4831190.6</v>
      </c>
      <c r="AM75" s="3" t="str">
        <f>SUBTOTAL(109,AM4:AM74)</f>
        <v>176410318.42</v>
      </c>
      <c r="AN75" s="1" t="str">
        <v/>
      </c>
      <c r="AO75" t="str">
        <v/>
      </c>
      <c r="AP75" t="str">
        <v/>
      </c>
      <c r="AQ75" t="str">
        <v/>
      </c>
      <c r="AR75" t="str">
        <v/>
      </c>
      <c r="AS75" s="1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</row>
  </sheetData>
  <autoFilter ref="A3:BH74"/>
  <mergeCells count="1">
    <mergeCell ref="H2:K2"/>
  </mergeCells>
  <ignoredErrors>
    <ignoredError numberStoredAsText="1" sqref="A1:BH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cols>
    <col min="1" max="1" width="28.83203125" customWidth="1"/>
    <col min="2" max="2" width="96.83203125" customWidth="1"/>
  </cols>
  <sheetData>
    <row r="1">
      <c r="A1" t="str">
        <v>Resumen DMC BuildReq - ejemplo</v>
      </c>
    </row>
    <row r="2">
      <c r="A2" t="str">
        <v>Fecha de generación</v>
      </c>
      <c r="B2" s="4" t="d">
        <v>2026-07-08T22:20:38.130Z</v>
      </c>
    </row>
    <row r="3">
      <c r="A3" t="str">
        <v>Fuente principal</v>
      </c>
      <c r="B3" t="str">
        <v>backups/buildreq-reset-movements-20260701-203055Z.sql</v>
      </c>
    </row>
    <row r="4">
      <c r="A4" t="str">
        <v>Base operativa actual</v>
      </c>
      <c r="B4" t="str">
        <v>0 facturas / 0 recepciones / 0 órdenes / 0 requisiciones</v>
      </c>
    </row>
    <row r="5">
      <c r="A5" t="str">
        <v>Facturas incluidas desde backup</v>
      </c>
      <c r="B5">
        <v>71</v>
      </c>
    </row>
    <row r="6">
      <c r="A6" t="str">
        <v>Filtro</v>
      </c>
      <c r="B6" t="str">
        <v>Facturas no anuladas; incluye borrador/revisada/rechazada/registrada</v>
      </c>
    </row>
    <row r="7">
      <c r="A7" t="str">
        <v>Días crédito</v>
      </c>
      <c r="B7" t="str">
        <v>documentDueDate - documentDate</v>
      </c>
    </row>
    <row r="8">
      <c r="A8" t="str">
        <v>JOB</v>
      </c>
      <c r="B8" t="str">
        <v>Número(s) de requisición material vinculados a los ítems; fallback a solicitud de compra u OC</v>
      </c>
    </row>
    <row r="9">
      <c r="A9" t="str">
        <v>Conteo por estado</v>
      </c>
      <c r="B9" t="str">
        <v>{"borrador":30,"revisada":26,"registrada":12,"rechazada":3}</v>
      </c>
    </row>
    <row r="10">
      <c r="A10" t="str">
        <v>Nota</v>
      </c>
      <c r="B10" t="str">
        <v>Archivo de ejemplo; no usar como declaración oficial sin validar contra SAR y contabilidad.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